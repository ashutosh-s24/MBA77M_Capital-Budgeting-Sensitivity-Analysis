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Values" sheetId="1" r:id="rId5"/>
    <sheet state="visible" name="Sensitivity in Price" sheetId="2" r:id="rId6"/>
    <sheet state="visible" name="Sensitivity in Quantity" sheetId="3" r:id="rId7"/>
    <sheet state="visible" name="Sensitivity in COGS" sheetId="4" r:id="rId8"/>
    <sheet state="visible" name="Sensitivity in OPEX" sheetId="5" r:id="rId9"/>
    <sheet state="visible" name="Sensitivity in Tax" sheetId="6" r:id="rId10"/>
    <sheet state="visible" name="Sensitivity in Capex" sheetId="7" r:id="rId11"/>
    <sheet state="visible" name="Sensitivity in DIO" sheetId="8" r:id="rId12"/>
    <sheet state="visible" name="Sensitivity in DSO" sheetId="9" r:id="rId13"/>
    <sheet state="visible" name="Sensitivity in DPO" sheetId="10" r:id="rId14"/>
    <sheet state="visible" name="Sensitivity in WACC" sheetId="11" r:id="rId15"/>
  </sheets>
  <definedNames/>
  <calcPr/>
</workbook>
</file>

<file path=xl/sharedStrings.xml><?xml version="1.0" encoding="utf-8"?>
<sst xmlns="http://schemas.openxmlformats.org/spreadsheetml/2006/main" count="231" uniqueCount="73">
  <si>
    <t>Calculation</t>
  </si>
  <si>
    <t>Description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</si>
  <si>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</si>
  <si>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</si>
  <si>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</si>
  <si>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</si>
  <si>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</si>
  <si>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</si>
  <si>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</si>
  <si>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</si>
  <si>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</si>
  <si>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</si>
  <si>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</si>
  <si>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</si>
  <si>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Price per Unit(₹)</t>
  </si>
  <si>
    <t>Sales Volume / Quantity Sold (# in Crore)</t>
  </si>
  <si>
    <t>Revenue = Price x Quantity</t>
  </si>
  <si>
    <t>Revenue (₹ Cr)</t>
  </si>
  <si>
    <t>Production Variable Cost (₹ Cr)</t>
  </si>
  <si>
    <t>Production Fixed Cost (₹ Cr)</t>
  </si>
  <si>
    <t>COGS = Variable Cost + Fixed Cost</t>
  </si>
  <si>
    <t>Cost of Goods Sold {COGS}(₹ Cr)</t>
  </si>
  <si>
    <t>Operating Expenses {OPEX}(₹ Cr)</t>
  </si>
  <si>
    <t>EBIDTA = Revenue - COGS - OPEX</t>
  </si>
  <si>
    <t>EBIDTA(₹ Cr)</t>
  </si>
  <si>
    <t>Depreciation &amp; Amortization(₹ Cr)</t>
  </si>
  <si>
    <t>EBIT = EBITDA - D&amp;A</t>
  </si>
  <si>
    <t>EBIT (₹ Cr)</t>
  </si>
  <si>
    <t>Tax Rate (%)</t>
  </si>
  <si>
    <t>NOPAT = EBITx(1- Tax)</t>
  </si>
  <si>
    <t>Net Operating Profit After Tax (₹ Cr)</t>
  </si>
  <si>
    <t>Operating CF = NOPAT + D&amp;A</t>
  </si>
  <si>
    <t>Operating Cash Flow (₹ Cr)</t>
  </si>
  <si>
    <t>Receivable Days{DSO} (No. of Days)</t>
  </si>
  <si>
    <t>AR = RevenuexDSO/365</t>
  </si>
  <si>
    <t>Accounts Receivable {AR} (₹ Cr)</t>
  </si>
  <si>
    <t>Inventory Days{DIO} (No. of Days)</t>
  </si>
  <si>
    <t>INV = COGSxDIO/365</t>
  </si>
  <si>
    <t>Inventory{INV}(₹ Cr)</t>
  </si>
  <si>
    <t>Payable Days{DPO} (No. of Days)</t>
  </si>
  <si>
    <t>AP = COGSxDPO/365</t>
  </si>
  <si>
    <t>Accounts Payable{AP} (₹ Cr)</t>
  </si>
  <si>
    <t>NWC = AR + INV - AP</t>
  </si>
  <si>
    <t>Net Working Capital {NWC} (₹ Cr)</t>
  </si>
  <si>
    <t>ΔNWC = NWC(t) - NWC(t-1)</t>
  </si>
  <si>
    <t>Change in Net Working Capital {ΔNWC} (₹ Cr)</t>
  </si>
  <si>
    <t>Capital Expenditure {CAPEX} (₹ Cr)</t>
  </si>
  <si>
    <t>FCFF=Operating Cash Flow−Capex−ΔNWC</t>
  </si>
  <si>
    <t>FCFF (₹ Cr)</t>
  </si>
  <si>
    <t>WACC= RE*WE + RD*WD(1-T)</t>
  </si>
  <si>
    <t>WACC (%)</t>
  </si>
  <si>
    <t>PV of FCFF (₹ Cr)</t>
  </si>
  <si>
    <t>NPV of FCFF (₹ Cr)</t>
  </si>
  <si>
    <t>Case Context</t>
  </si>
  <si>
    <t>Sensitivity Analysis on NPV – Varun Beverages</t>
  </si>
  <si>
    <t>Varun Beverages (VBL), one of PepsiCo’s largest global bottlers, evaluates capacity expansion and new bottling lines with long asset lives and volume-driven economics.</t>
  </si>
  <si>
    <t>Management must assess how key drivers—price, quantity, capex, COGS, OPEX, Tax rate, DSO, DIO, DPO, WACC(i.e. discount rate)—affect NPV.</t>
  </si>
  <si>
    <t>Sensitivity analysis isolates each driver’s impact on free cash flow and valuation to guide pricing, procurement, and financing decisions.</t>
  </si>
  <si>
    <t xml:space="preserve">WACC </t>
  </si>
  <si>
    <t>percent</t>
  </si>
  <si>
    <t xml:space="preserve"> Changes \ NPV</t>
  </si>
  <si>
    <t xml:space="preserve">Year 0 </t>
  </si>
  <si>
    <t>Price Per Unit</t>
  </si>
  <si>
    <t>Changes \ NPV</t>
  </si>
  <si>
    <t xml:space="preserve">Sales Volume </t>
  </si>
  <si>
    <t>COGS</t>
  </si>
  <si>
    <t>OPEX</t>
  </si>
  <si>
    <t>TAXES</t>
  </si>
  <si>
    <t>CAPEX</t>
  </si>
  <si>
    <t>DIO</t>
  </si>
  <si>
    <t>DSO</t>
  </si>
  <si>
    <t>DPO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</si>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</sst>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00000"/>
      <name val="Calibri"/>
    </font>
    <font>
      <sz val="12.0"/>
      <color theme="1"/>
      <name val="Arial"/>
    </font>
    <font>
      <b/>
      <sz val="17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rgb="FF000000"/>
      <name val="Calibri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Alignment="1" applyFont="1" applyNumberFormat="1">
      <alignment horizontal="right"/>
    </xf>
    <xf borderId="0" fillId="0" fontId="2" numFmtId="0" xfId="0" applyFont="1"/>
    <xf borderId="0" fillId="0" fontId="1" numFmtId="2" xfId="0" applyFont="1" applyNumberFormat="1"/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1" numFmtId="3" xfId="0" applyFont="1" applyNumberFormat="1"/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horizontal="right" readingOrder="0"/>
    </xf>
    <xf borderId="0" fillId="0" fontId="1" numFmtId="2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9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9" xfId="0" applyAlignment="1" applyFont="1" applyNumberFormat="1">
      <alignment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9" numFmtId="0" xfId="0" applyFont="1"/>
    <xf borderId="0" fillId="0" fontId="8" numFmtId="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37.13"/>
    <col customWidth="1" min="3" max="3" width="28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/>
      <c r="B2" s="1" t="s">
        <v>14</v>
      </c>
      <c r="C2" s="2">
        <f t="shared" ref="C2:C3" si="1">P2*0</f>
        <v>0</v>
      </c>
      <c r="D2" s="2">
        <v>21.07</v>
      </c>
      <c r="E2" s="2">
        <v>21.5</v>
      </c>
      <c r="F2" s="2">
        <v>23.21</v>
      </c>
      <c r="G2" s="2">
        <f>P2*21.86</f>
        <v>21.86</v>
      </c>
      <c r="H2" s="2">
        <f>P2*22.52</f>
        <v>22.52</v>
      </c>
      <c r="I2" s="2">
        <f>P2*23.2</f>
        <v>23.2</v>
      </c>
      <c r="J2" s="2">
        <f>P2*23.9</f>
        <v>23.9</v>
      </c>
      <c r="K2" s="2">
        <f>P2*24.62</f>
        <v>24.62</v>
      </c>
      <c r="L2" s="2">
        <f>25.36*P2</f>
        <v>25.36</v>
      </c>
      <c r="M2" s="2">
        <f>26.12*P2</f>
        <v>26.12</v>
      </c>
      <c r="N2" s="2">
        <f>26.9*P2</f>
        <v>26.9</v>
      </c>
      <c r="P2" s="3">
        <v>1.0</v>
      </c>
    </row>
    <row r="3" ht="15.75" customHeight="1">
      <c r="A3" s="1"/>
      <c r="B3" s="1" t="s">
        <v>15</v>
      </c>
      <c r="C3" s="2">
        <f t="shared" si="1"/>
        <v>0</v>
      </c>
      <c r="D3" s="2">
        <v>31.5</v>
      </c>
      <c r="E3" s="2">
        <v>29.8</v>
      </c>
      <c r="F3" s="2">
        <v>30.7</v>
      </c>
      <c r="G3" s="2">
        <v>30.9</v>
      </c>
      <c r="H3" s="2">
        <v>40.0</v>
      </c>
      <c r="I3" s="2">
        <v>40.5</v>
      </c>
      <c r="J3" s="2">
        <v>40.1</v>
      </c>
      <c r="K3" s="2">
        <v>40.0</v>
      </c>
      <c r="L3" s="4">
        <v>39.01</v>
      </c>
      <c r="M3" s="2">
        <v>50.0</v>
      </c>
      <c r="N3" s="2">
        <v>50.5</v>
      </c>
      <c r="P3" s="1">
        <v>1.0</v>
      </c>
      <c r="S3" s="5"/>
      <c r="T3" s="5"/>
      <c r="U3" s="5"/>
      <c r="V3" s="5"/>
      <c r="W3" s="5"/>
      <c r="X3" s="6"/>
      <c r="Y3" s="6"/>
      <c r="Z3" s="6"/>
      <c r="AA3" s="6"/>
      <c r="AB3" s="6"/>
      <c r="AC3" s="6"/>
    </row>
    <row r="4" ht="15.75" customHeight="1">
      <c r="A4" s="1" t="s">
        <v>16</v>
      </c>
      <c r="B4" s="1" t="s">
        <v>17</v>
      </c>
      <c r="C4" s="2">
        <f t="shared" ref="C4:N4" si="2">C2*C3</f>
        <v>0</v>
      </c>
      <c r="D4" s="2">
        <f t="shared" si="2"/>
        <v>663.705</v>
      </c>
      <c r="E4" s="2">
        <f t="shared" si="2"/>
        <v>640.7</v>
      </c>
      <c r="F4" s="2">
        <f t="shared" si="2"/>
        <v>712.547</v>
      </c>
      <c r="G4" s="2">
        <f t="shared" si="2"/>
        <v>675.474</v>
      </c>
      <c r="H4" s="2">
        <f t="shared" si="2"/>
        <v>900.8</v>
      </c>
      <c r="I4" s="2">
        <f t="shared" si="2"/>
        <v>939.6</v>
      </c>
      <c r="J4" s="2">
        <f t="shared" si="2"/>
        <v>958.39</v>
      </c>
      <c r="K4" s="2">
        <f t="shared" si="2"/>
        <v>984.8</v>
      </c>
      <c r="L4" s="2">
        <f t="shared" si="2"/>
        <v>989.2936</v>
      </c>
      <c r="M4" s="2">
        <f t="shared" si="2"/>
        <v>1306</v>
      </c>
      <c r="N4" s="2">
        <f t="shared" si="2"/>
        <v>1358.45</v>
      </c>
      <c r="O4" s="5"/>
      <c r="P4" s="1">
        <v>1.0</v>
      </c>
      <c r="S4" s="7"/>
      <c r="T4" s="7"/>
      <c r="U4" s="7"/>
      <c r="V4" s="7"/>
      <c r="W4" s="7"/>
    </row>
    <row r="5" ht="15.75" customHeight="1">
      <c r="A5" s="1"/>
      <c r="B5" s="1" t="s">
        <v>18</v>
      </c>
      <c r="C5" s="2">
        <f t="shared" ref="C5:C6" si="3">P5*0</f>
        <v>0</v>
      </c>
      <c r="D5" s="2">
        <f>P5*55</f>
        <v>55</v>
      </c>
      <c r="E5" s="2">
        <f>P5*67.98</f>
        <v>67.98</v>
      </c>
      <c r="F5" s="2">
        <f>P5*81.7</f>
        <v>81.7</v>
      </c>
      <c r="G5" s="2">
        <f>P5*96.18</f>
        <v>96.18</v>
      </c>
      <c r="H5" s="2">
        <f>P5*111.46</f>
        <v>111.46</v>
      </c>
      <c r="I5" s="2">
        <f>P5*121.24</f>
        <v>121.24</v>
      </c>
      <c r="J5" s="2">
        <f>P5*131.46</f>
        <v>131.46</v>
      </c>
      <c r="K5" s="2">
        <f>P5*139.47</f>
        <v>139.47</v>
      </c>
      <c r="L5" s="2">
        <f>P5*147.86</f>
        <v>147.86</v>
      </c>
      <c r="M5" s="2">
        <f>P5*155.17</f>
        <v>155.17</v>
      </c>
      <c r="N5" s="2">
        <f>P5*162.75</f>
        <v>162.75</v>
      </c>
      <c r="P5" s="1">
        <v>1.0</v>
      </c>
    </row>
    <row r="6" ht="15.75" customHeight="1">
      <c r="A6" s="1"/>
      <c r="B6" s="1" t="s">
        <v>19</v>
      </c>
      <c r="C6" s="2">
        <f t="shared" si="3"/>
        <v>0</v>
      </c>
      <c r="D6" s="2">
        <f>P6*20</f>
        <v>20</v>
      </c>
      <c r="E6" s="2">
        <f>P6*21</f>
        <v>21</v>
      </c>
      <c r="F6" s="2">
        <f>P6*22.05</f>
        <v>22.05</v>
      </c>
      <c r="G6" s="2">
        <f>P6*23.15</f>
        <v>23.15</v>
      </c>
      <c r="H6" s="2">
        <f>P6*24.31</f>
        <v>24.31</v>
      </c>
      <c r="I6" s="2">
        <f>P6*25.53</f>
        <v>25.53</v>
      </c>
      <c r="J6" s="2">
        <f>P6*26.81</f>
        <v>26.81</v>
      </c>
      <c r="K6" s="2">
        <f>P6*28.15</f>
        <v>28.15</v>
      </c>
      <c r="L6" s="2">
        <f>P6*29.56</f>
        <v>29.56</v>
      </c>
      <c r="M6" s="2">
        <f>P6*31.04</f>
        <v>31.04</v>
      </c>
      <c r="N6" s="2">
        <f>P6*32.59</f>
        <v>32.59</v>
      </c>
      <c r="P6" s="3">
        <v>1.0</v>
      </c>
    </row>
    <row r="7" ht="15.75" customHeight="1">
      <c r="A7" s="1" t="s">
        <v>20</v>
      </c>
      <c r="B7" s="1" t="s">
        <v>21</v>
      </c>
      <c r="C7" s="4">
        <f>(C5+C6)*P7</f>
        <v>0</v>
      </c>
      <c r="D7" s="4">
        <f>P7*(D5+D6)</f>
        <v>75</v>
      </c>
      <c r="E7" s="4">
        <f>(E5+E6)*P7</f>
        <v>88.98</v>
      </c>
      <c r="F7" s="4">
        <f>(F5+F6)*P7</f>
        <v>103.75</v>
      </c>
      <c r="G7" s="4">
        <f>P7*(G5+G6)</f>
        <v>119.33</v>
      </c>
      <c r="H7" s="4">
        <f>P7*(H5+H6)</f>
        <v>135.77</v>
      </c>
      <c r="I7" s="4">
        <f>P7*(I5+I6)</f>
        <v>146.77</v>
      </c>
      <c r="J7" s="4">
        <f>P7*(J5+J6)</f>
        <v>158.27</v>
      </c>
      <c r="K7" s="4">
        <f>P7*(K5+K6)</f>
        <v>167.62</v>
      </c>
      <c r="L7" s="4">
        <f>P7*(L5+L6)</f>
        <v>177.42</v>
      </c>
      <c r="M7" s="4">
        <f>P7*(M5+M6)</f>
        <v>186.21</v>
      </c>
      <c r="N7" s="4">
        <f>P7*(N5+N6)</f>
        <v>195.34</v>
      </c>
      <c r="P7" s="1">
        <v>1.0</v>
      </c>
    </row>
    <row r="8" ht="15.75" customHeight="1">
      <c r="A8" s="1"/>
      <c r="B8" s="1" t="s">
        <v>22</v>
      </c>
      <c r="C8" s="2">
        <f>P8*0</f>
        <v>0</v>
      </c>
      <c r="D8" s="2">
        <f>P8*3</f>
        <v>3</v>
      </c>
      <c r="E8" s="2">
        <f>P8*3.71</f>
        <v>3.71</v>
      </c>
      <c r="F8" s="2">
        <f>P8*4.46</f>
        <v>4.46</v>
      </c>
      <c r="G8" s="2">
        <f>P8*5.25</f>
        <v>5.25</v>
      </c>
      <c r="H8" s="2">
        <f>P8*6.08</f>
        <v>6.08</v>
      </c>
      <c r="I8" s="2">
        <f>P8*6.61</f>
        <v>6.61</v>
      </c>
      <c r="J8" s="2">
        <f>P8*7.17</f>
        <v>7.17</v>
      </c>
      <c r="K8" s="2">
        <f>P8*7.61</f>
        <v>7.61</v>
      </c>
      <c r="L8" s="2">
        <f>P8*8.06</f>
        <v>8.06</v>
      </c>
      <c r="M8" s="2">
        <f>P8*8.46</f>
        <v>8.46</v>
      </c>
      <c r="N8" s="2">
        <f>P8*8.88</f>
        <v>8.88</v>
      </c>
      <c r="P8" s="1">
        <v>1.0</v>
      </c>
    </row>
    <row r="9" ht="15.75" customHeight="1">
      <c r="A9" s="1" t="s">
        <v>23</v>
      </c>
      <c r="B9" s="1" t="s">
        <v>24</v>
      </c>
      <c r="C9" s="2">
        <f t="shared" ref="C9:N9" si="4">C4-C7-C8</f>
        <v>0</v>
      </c>
      <c r="D9" s="2">
        <f t="shared" si="4"/>
        <v>585.705</v>
      </c>
      <c r="E9" s="2">
        <f t="shared" si="4"/>
        <v>548.01</v>
      </c>
      <c r="F9" s="2">
        <f t="shared" si="4"/>
        <v>604.337</v>
      </c>
      <c r="G9" s="2">
        <f t="shared" si="4"/>
        <v>550.894</v>
      </c>
      <c r="H9" s="2">
        <f t="shared" si="4"/>
        <v>758.95</v>
      </c>
      <c r="I9" s="2">
        <f t="shared" si="4"/>
        <v>786.22</v>
      </c>
      <c r="J9" s="2">
        <f t="shared" si="4"/>
        <v>792.95</v>
      </c>
      <c r="K9" s="2">
        <f t="shared" si="4"/>
        <v>809.57</v>
      </c>
      <c r="L9" s="2">
        <f t="shared" si="4"/>
        <v>803.8136</v>
      </c>
      <c r="M9" s="2">
        <f t="shared" si="4"/>
        <v>1111.33</v>
      </c>
      <c r="N9" s="2">
        <f t="shared" si="4"/>
        <v>1154.23</v>
      </c>
      <c r="P9" s="1">
        <v>1.0</v>
      </c>
    </row>
    <row r="10" ht="15.75" customHeight="1">
      <c r="A10" s="1"/>
      <c r="B10" s="1" t="s">
        <v>25</v>
      </c>
      <c r="C10" s="2">
        <f>P10*0</f>
        <v>0</v>
      </c>
      <c r="D10" s="2">
        <f>C23/10</f>
        <v>10</v>
      </c>
      <c r="E10" s="2">
        <f>C23/10 + D23/10</f>
        <v>10.314</v>
      </c>
      <c r="F10" s="2">
        <f>C23/10 + D23/10 + E23/10</f>
        <v>10.685</v>
      </c>
      <c r="G10" s="2">
        <f>C23/10 + D23/10 + E23/10 + F23/10</f>
        <v>10.966</v>
      </c>
      <c r="H10" s="2">
        <f>SUM(C23:G23)/10</f>
        <v>175.966</v>
      </c>
      <c r="I10" s="2">
        <f>SUM(C23:H23)/10</f>
        <v>176.676</v>
      </c>
      <c r="J10" s="2">
        <f>SUM(C23:I23)/10</f>
        <v>177.486</v>
      </c>
      <c r="K10" s="2">
        <f>SUM(C23:J23)/10</f>
        <v>178.396</v>
      </c>
      <c r="L10" s="2">
        <f>SUM(C23:K23)/10</f>
        <v>179.406</v>
      </c>
      <c r="M10" s="2">
        <f>SUM(C23:L23)/10</f>
        <v>699.406</v>
      </c>
      <c r="N10" s="2">
        <f>SUM(D23:N23)/10</f>
        <v>690.1</v>
      </c>
      <c r="P10" s="3">
        <v>1.0</v>
      </c>
    </row>
    <row r="11">
      <c r="A11" s="1" t="s">
        <v>26</v>
      </c>
      <c r="B11" s="1" t="s">
        <v>27</v>
      </c>
      <c r="C11" s="4">
        <f t="shared" ref="C11:N11" si="5">C9-C10</f>
        <v>0</v>
      </c>
      <c r="D11" s="4">
        <f t="shared" si="5"/>
        <v>575.705</v>
      </c>
      <c r="E11" s="4">
        <f t="shared" si="5"/>
        <v>537.696</v>
      </c>
      <c r="F11" s="4">
        <f t="shared" si="5"/>
        <v>593.652</v>
      </c>
      <c r="G11" s="4">
        <f t="shared" si="5"/>
        <v>539.928</v>
      </c>
      <c r="H11" s="4">
        <f t="shared" si="5"/>
        <v>582.984</v>
      </c>
      <c r="I11" s="4">
        <f t="shared" si="5"/>
        <v>609.544</v>
      </c>
      <c r="J11" s="4">
        <f t="shared" si="5"/>
        <v>615.464</v>
      </c>
      <c r="K11" s="4">
        <f t="shared" si="5"/>
        <v>631.174</v>
      </c>
      <c r="L11" s="4">
        <f t="shared" si="5"/>
        <v>624.4076</v>
      </c>
      <c r="M11" s="4">
        <f t="shared" si="5"/>
        <v>411.924</v>
      </c>
      <c r="N11" s="4">
        <f t="shared" si="5"/>
        <v>464.13</v>
      </c>
      <c r="P11" s="1">
        <v>1.0</v>
      </c>
    </row>
    <row r="12" ht="15.75" customHeight="1">
      <c r="A12" s="1"/>
      <c r="B12" s="1" t="s">
        <v>28</v>
      </c>
      <c r="C12" s="2">
        <f>P12*25</f>
        <v>25</v>
      </c>
      <c r="D12" s="2">
        <f>P12*25</f>
        <v>25</v>
      </c>
      <c r="E12" s="2">
        <f>P12*25</f>
        <v>25</v>
      </c>
      <c r="F12" s="2">
        <f>P12*25</f>
        <v>25</v>
      </c>
      <c r="G12" s="2">
        <f>P12*25</f>
        <v>25</v>
      </c>
      <c r="H12" s="2">
        <f>P12*25</f>
        <v>25</v>
      </c>
      <c r="I12" s="2">
        <f>P12*25</f>
        <v>25</v>
      </c>
      <c r="J12" s="2">
        <f>P12*25</f>
        <v>25</v>
      </c>
      <c r="K12" s="2">
        <f>P12*25</f>
        <v>25</v>
      </c>
      <c r="L12" s="2">
        <f>P12*25</f>
        <v>25</v>
      </c>
      <c r="M12" s="2">
        <f>P12*25</f>
        <v>25</v>
      </c>
      <c r="N12" s="2">
        <f>P12*25</f>
        <v>25</v>
      </c>
      <c r="P12" s="1">
        <v>1.0</v>
      </c>
    </row>
    <row r="13" ht="15.75" customHeight="1">
      <c r="A13" s="1" t="s">
        <v>29</v>
      </c>
      <c r="B13" s="1" t="s">
        <v>30</v>
      </c>
      <c r="C13" s="4">
        <f t="shared" ref="C13:N13" si="6">VALUE(C11)*(1-(C12/100))</f>
        <v>0</v>
      </c>
      <c r="D13" s="4">
        <f t="shared" si="6"/>
        <v>431.77875</v>
      </c>
      <c r="E13" s="4">
        <f t="shared" si="6"/>
        <v>403.272</v>
      </c>
      <c r="F13" s="4">
        <f t="shared" si="6"/>
        <v>445.239</v>
      </c>
      <c r="G13" s="4">
        <f t="shared" si="6"/>
        <v>404.946</v>
      </c>
      <c r="H13" s="4">
        <f t="shared" si="6"/>
        <v>437.238</v>
      </c>
      <c r="I13" s="4">
        <f t="shared" si="6"/>
        <v>457.158</v>
      </c>
      <c r="J13" s="4">
        <f t="shared" si="6"/>
        <v>461.598</v>
      </c>
      <c r="K13" s="4">
        <f t="shared" si="6"/>
        <v>473.3805</v>
      </c>
      <c r="L13" s="4">
        <f t="shared" si="6"/>
        <v>468.3057</v>
      </c>
      <c r="M13" s="4">
        <f t="shared" si="6"/>
        <v>308.943</v>
      </c>
      <c r="N13" s="4">
        <f t="shared" si="6"/>
        <v>348.0975</v>
      </c>
      <c r="P13" s="1">
        <v>1.0</v>
      </c>
    </row>
    <row r="14" ht="15.75" customHeight="1">
      <c r="A14" s="1" t="s">
        <v>31</v>
      </c>
      <c r="B14" s="1" t="s">
        <v>32</v>
      </c>
      <c r="C14" s="4">
        <f t="shared" ref="C14:N14" si="7">C13 + C10</f>
        <v>0</v>
      </c>
      <c r="D14" s="4">
        <f t="shared" si="7"/>
        <v>441.77875</v>
      </c>
      <c r="E14" s="4">
        <f t="shared" si="7"/>
        <v>413.586</v>
      </c>
      <c r="F14" s="4">
        <f t="shared" si="7"/>
        <v>455.924</v>
      </c>
      <c r="G14" s="4">
        <f t="shared" si="7"/>
        <v>415.912</v>
      </c>
      <c r="H14" s="4">
        <f t="shared" si="7"/>
        <v>613.204</v>
      </c>
      <c r="I14" s="4">
        <f t="shared" si="7"/>
        <v>633.834</v>
      </c>
      <c r="J14" s="4">
        <f t="shared" si="7"/>
        <v>639.084</v>
      </c>
      <c r="K14" s="4">
        <f t="shared" si="7"/>
        <v>651.7765</v>
      </c>
      <c r="L14" s="4">
        <f t="shared" si="7"/>
        <v>647.7117</v>
      </c>
      <c r="M14" s="4">
        <f t="shared" si="7"/>
        <v>1008.349</v>
      </c>
      <c r="N14" s="4">
        <f t="shared" si="7"/>
        <v>1038.1975</v>
      </c>
      <c r="P14" s="3">
        <v>1.0</v>
      </c>
    </row>
    <row r="15" ht="15.75" customHeight="1">
      <c r="A15" s="1"/>
      <c r="B15" s="1" t="s">
        <v>33</v>
      </c>
      <c r="C15" s="2">
        <f>P15*30</f>
        <v>30</v>
      </c>
      <c r="D15" s="2">
        <f>P15*30</f>
        <v>30</v>
      </c>
      <c r="E15" s="2">
        <f>P15*30</f>
        <v>30</v>
      </c>
      <c r="F15" s="2">
        <f>P15*30</f>
        <v>30</v>
      </c>
      <c r="G15" s="2">
        <f>P15*28</f>
        <v>28</v>
      </c>
      <c r="H15" s="2">
        <f>P15*28</f>
        <v>28</v>
      </c>
      <c r="I15" s="2">
        <f>P15*27</f>
        <v>27</v>
      </c>
      <c r="J15" s="2">
        <f>P15*27</f>
        <v>27</v>
      </c>
      <c r="K15" s="2">
        <f>P15*26</f>
        <v>26</v>
      </c>
      <c r="L15" s="2">
        <f>P15*26</f>
        <v>26</v>
      </c>
      <c r="M15" s="2">
        <f>P15*25</f>
        <v>25</v>
      </c>
      <c r="N15" s="2">
        <f>P15*25</f>
        <v>25</v>
      </c>
      <c r="P15" s="1">
        <v>1.0</v>
      </c>
    </row>
    <row r="16" ht="15.75" customHeight="1">
      <c r="A16" s="1" t="s">
        <v>34</v>
      </c>
      <c r="B16" s="1" t="s">
        <v>35</v>
      </c>
      <c r="C16" s="4">
        <f t="shared" ref="C16:N16" si="8">C4*(C15/365)</f>
        <v>0</v>
      </c>
      <c r="D16" s="4">
        <f t="shared" si="8"/>
        <v>54.55109589</v>
      </c>
      <c r="E16" s="4">
        <f t="shared" si="8"/>
        <v>52.66027397</v>
      </c>
      <c r="F16" s="4">
        <f t="shared" si="8"/>
        <v>58.56550685</v>
      </c>
      <c r="G16" s="4">
        <f t="shared" si="8"/>
        <v>51.81718356</v>
      </c>
      <c r="H16" s="4">
        <f t="shared" si="8"/>
        <v>69.10246575</v>
      </c>
      <c r="I16" s="4">
        <f t="shared" si="8"/>
        <v>69.50465753</v>
      </c>
      <c r="J16" s="4">
        <f t="shared" si="8"/>
        <v>70.89460274</v>
      </c>
      <c r="K16" s="4">
        <f t="shared" si="8"/>
        <v>70.15013699</v>
      </c>
      <c r="L16" s="4">
        <f t="shared" si="8"/>
        <v>70.47022904</v>
      </c>
      <c r="M16" s="4">
        <f t="shared" si="8"/>
        <v>89.45205479</v>
      </c>
      <c r="N16" s="4">
        <f t="shared" si="8"/>
        <v>93.04452055</v>
      </c>
      <c r="P16" s="1">
        <v>1.0</v>
      </c>
    </row>
    <row r="17" ht="15.75" customHeight="1">
      <c r="A17" s="1"/>
      <c r="B17" s="1" t="s">
        <v>36</v>
      </c>
      <c r="C17" s="2">
        <f>P17*45</f>
        <v>45</v>
      </c>
      <c r="D17" s="2">
        <f>P17*45</f>
        <v>45</v>
      </c>
      <c r="E17" s="2">
        <f>P17*45</f>
        <v>45</v>
      </c>
      <c r="F17" s="2">
        <f>P17*45</f>
        <v>45</v>
      </c>
      <c r="G17" s="2">
        <f>P17*43</f>
        <v>43</v>
      </c>
      <c r="H17" s="2">
        <f>P17*42</f>
        <v>42</v>
      </c>
      <c r="I17" s="2">
        <f>P17*41</f>
        <v>41</v>
      </c>
      <c r="J17" s="2">
        <f>P17*40</f>
        <v>40</v>
      </c>
      <c r="K17" s="2">
        <f>P17*39</f>
        <v>39</v>
      </c>
      <c r="L17" s="2">
        <f>P17*38</f>
        <v>38</v>
      </c>
      <c r="M17" s="2">
        <f>P17*37</f>
        <v>37</v>
      </c>
      <c r="N17" s="2">
        <f>P17*36</f>
        <v>36</v>
      </c>
      <c r="P17" s="1">
        <v>1.0</v>
      </c>
    </row>
    <row r="18" ht="15.75" customHeight="1">
      <c r="A18" s="1" t="s">
        <v>37</v>
      </c>
      <c r="B18" s="1" t="s">
        <v>38</v>
      </c>
      <c r="C18" s="4">
        <f t="shared" ref="C18:N18" si="9">C7*(C17/365)</f>
        <v>0</v>
      </c>
      <c r="D18" s="4">
        <f t="shared" si="9"/>
        <v>9.246575342</v>
      </c>
      <c r="E18" s="4">
        <f t="shared" si="9"/>
        <v>10.97013699</v>
      </c>
      <c r="F18" s="4">
        <f t="shared" si="9"/>
        <v>12.79109589</v>
      </c>
      <c r="G18" s="4">
        <f t="shared" si="9"/>
        <v>14.05805479</v>
      </c>
      <c r="H18" s="4">
        <f t="shared" si="9"/>
        <v>15.62284932</v>
      </c>
      <c r="I18" s="4">
        <f t="shared" si="9"/>
        <v>16.48649315</v>
      </c>
      <c r="J18" s="4">
        <f t="shared" si="9"/>
        <v>17.34465753</v>
      </c>
      <c r="K18" s="4">
        <f t="shared" si="9"/>
        <v>17.91008219</v>
      </c>
      <c r="L18" s="4">
        <f t="shared" si="9"/>
        <v>18.47112329</v>
      </c>
      <c r="M18" s="4">
        <f t="shared" si="9"/>
        <v>18.87608219</v>
      </c>
      <c r="N18" s="4">
        <f t="shared" si="9"/>
        <v>19.26641096</v>
      </c>
      <c r="P18" s="3">
        <v>1.0</v>
      </c>
    </row>
    <row r="19" ht="15.75" customHeight="1">
      <c r="A19" s="1"/>
      <c r="B19" s="1" t="s">
        <v>39</v>
      </c>
      <c r="C19" s="2">
        <f>P19*15</f>
        <v>15</v>
      </c>
      <c r="D19" s="2">
        <f>P19*15</f>
        <v>15</v>
      </c>
      <c r="E19" s="2">
        <f>P19*15</f>
        <v>15</v>
      </c>
      <c r="F19" s="2">
        <f>P19*15</f>
        <v>15</v>
      </c>
      <c r="G19" s="2">
        <f>P19*18</f>
        <v>18</v>
      </c>
      <c r="H19" s="2">
        <f>P19*20</f>
        <v>20</v>
      </c>
      <c r="I19" s="2">
        <f>P19*22</f>
        <v>22</v>
      </c>
      <c r="J19" s="2">
        <f>P19*23</f>
        <v>23</v>
      </c>
      <c r="K19" s="2">
        <f>P19*24</f>
        <v>24</v>
      </c>
      <c r="L19" s="2">
        <f>P19*24</f>
        <v>24</v>
      </c>
      <c r="M19" s="2">
        <f>P19*25</f>
        <v>25</v>
      </c>
      <c r="N19" s="2">
        <f>P19*25</f>
        <v>25</v>
      </c>
      <c r="P19" s="1">
        <v>1.0</v>
      </c>
    </row>
    <row r="20" ht="15.75" customHeight="1">
      <c r="A20" s="1" t="s">
        <v>40</v>
      </c>
      <c r="B20" s="1" t="s">
        <v>41</v>
      </c>
      <c r="C20" s="4">
        <f t="shared" ref="C20:N20" si="10">C7*(C19/365)</f>
        <v>0</v>
      </c>
      <c r="D20" s="4">
        <f t="shared" si="10"/>
        <v>3.082191781</v>
      </c>
      <c r="E20" s="4">
        <f t="shared" si="10"/>
        <v>3.656712329</v>
      </c>
      <c r="F20" s="4">
        <f t="shared" si="10"/>
        <v>4.26369863</v>
      </c>
      <c r="G20" s="4">
        <f t="shared" si="10"/>
        <v>5.884767123</v>
      </c>
      <c r="H20" s="4">
        <f t="shared" si="10"/>
        <v>7.439452055</v>
      </c>
      <c r="I20" s="4">
        <f t="shared" si="10"/>
        <v>8.846410959</v>
      </c>
      <c r="J20" s="4">
        <f t="shared" si="10"/>
        <v>9.973178082</v>
      </c>
      <c r="K20" s="4">
        <f t="shared" si="10"/>
        <v>11.02158904</v>
      </c>
      <c r="L20" s="4">
        <f t="shared" si="10"/>
        <v>11.6659726</v>
      </c>
      <c r="M20" s="4">
        <f t="shared" si="10"/>
        <v>12.75410959</v>
      </c>
      <c r="N20" s="4">
        <f t="shared" si="10"/>
        <v>13.37945205</v>
      </c>
      <c r="P20" s="1">
        <v>1.0</v>
      </c>
    </row>
    <row r="21" ht="15.75" customHeight="1">
      <c r="A21" s="1" t="s">
        <v>42</v>
      </c>
      <c r="B21" s="1" t="s">
        <v>43</v>
      </c>
      <c r="C21" s="4">
        <f t="shared" ref="C21:N21" si="11">C16+C18-C20</f>
        <v>0</v>
      </c>
      <c r="D21" s="4">
        <f t="shared" si="11"/>
        <v>60.71547945</v>
      </c>
      <c r="E21" s="4">
        <f t="shared" si="11"/>
        <v>59.97369863</v>
      </c>
      <c r="F21" s="4">
        <f t="shared" si="11"/>
        <v>67.09290411</v>
      </c>
      <c r="G21" s="4">
        <f t="shared" si="11"/>
        <v>59.99047123</v>
      </c>
      <c r="H21" s="4">
        <f t="shared" si="11"/>
        <v>77.28586301</v>
      </c>
      <c r="I21" s="4">
        <f t="shared" si="11"/>
        <v>77.14473973</v>
      </c>
      <c r="J21" s="4">
        <f t="shared" si="11"/>
        <v>78.26608219</v>
      </c>
      <c r="K21" s="4">
        <f t="shared" si="11"/>
        <v>77.03863014</v>
      </c>
      <c r="L21" s="4">
        <f t="shared" si="11"/>
        <v>77.27537973</v>
      </c>
      <c r="M21" s="4">
        <f t="shared" si="11"/>
        <v>95.5740274</v>
      </c>
      <c r="N21" s="4">
        <f t="shared" si="11"/>
        <v>98.93147945</v>
      </c>
      <c r="P21" s="1">
        <v>1.0</v>
      </c>
    </row>
    <row r="22" ht="15.75" customHeight="1">
      <c r="A22" s="1" t="s">
        <v>44</v>
      </c>
      <c r="B22" s="1" t="s">
        <v>45</v>
      </c>
      <c r="C22" s="4">
        <v>0.0</v>
      </c>
      <c r="D22" s="4">
        <f t="shared" ref="D22:N22" si="12">D21 - C21</f>
        <v>60.71547945</v>
      </c>
      <c r="E22" s="4">
        <f t="shared" si="12"/>
        <v>-0.7417808219</v>
      </c>
      <c r="F22" s="4">
        <f t="shared" si="12"/>
        <v>7.119205479</v>
      </c>
      <c r="G22" s="4">
        <f t="shared" si="12"/>
        <v>-7.102432877</v>
      </c>
      <c r="H22" s="4">
        <f t="shared" si="12"/>
        <v>17.29539178</v>
      </c>
      <c r="I22" s="4">
        <f t="shared" si="12"/>
        <v>-0.1411232877</v>
      </c>
      <c r="J22" s="4">
        <f t="shared" si="12"/>
        <v>1.121342466</v>
      </c>
      <c r="K22" s="4">
        <f t="shared" si="12"/>
        <v>-1.227452055</v>
      </c>
      <c r="L22" s="4">
        <f t="shared" si="12"/>
        <v>0.236749589</v>
      </c>
      <c r="M22" s="4">
        <f t="shared" si="12"/>
        <v>18.29864767</v>
      </c>
      <c r="N22" s="4">
        <f t="shared" si="12"/>
        <v>3.357452055</v>
      </c>
      <c r="O22" s="7"/>
      <c r="P22" s="3">
        <v>1.0</v>
      </c>
    </row>
    <row r="23" ht="15.75" customHeight="1">
      <c r="A23" s="1"/>
      <c r="B23" s="1" t="s">
        <v>46</v>
      </c>
      <c r="C23" s="2">
        <v>100.0</v>
      </c>
      <c r="D23" s="2">
        <v>3.14</v>
      </c>
      <c r="E23" s="2">
        <f>P23*3.71</f>
        <v>3.71</v>
      </c>
      <c r="F23" s="2">
        <v>2.81</v>
      </c>
      <c r="G23" s="2">
        <v>1650.0</v>
      </c>
      <c r="H23" s="2">
        <v>7.1</v>
      </c>
      <c r="I23" s="2">
        <v>8.1</v>
      </c>
      <c r="J23" s="2">
        <v>9.1</v>
      </c>
      <c r="K23" s="2">
        <v>10.1</v>
      </c>
      <c r="L23" s="2">
        <v>5200.0</v>
      </c>
      <c r="M23" s="2">
        <v>3.46</v>
      </c>
      <c r="N23" s="2">
        <v>3.48</v>
      </c>
      <c r="P23" s="1">
        <v>1.0</v>
      </c>
    </row>
    <row r="24" ht="15.75" customHeight="1">
      <c r="A24" s="1" t="s">
        <v>47</v>
      </c>
      <c r="B24" s="1" t="s">
        <v>48</v>
      </c>
      <c r="C24" s="4">
        <f t="shared" ref="C24:N24" si="13">C14-C22 - C23</f>
        <v>-100</v>
      </c>
      <c r="D24" s="4">
        <f t="shared" si="13"/>
        <v>377.9232705</v>
      </c>
      <c r="E24" s="4">
        <f t="shared" si="13"/>
        <v>410.6177808</v>
      </c>
      <c r="F24" s="4">
        <f t="shared" si="13"/>
        <v>445.9947945</v>
      </c>
      <c r="G24" s="4">
        <f t="shared" si="13"/>
        <v>-1226.985567</v>
      </c>
      <c r="H24" s="4">
        <f t="shared" si="13"/>
        <v>588.8086082</v>
      </c>
      <c r="I24" s="4">
        <f t="shared" si="13"/>
        <v>625.8751233</v>
      </c>
      <c r="J24" s="4">
        <f t="shared" si="13"/>
        <v>628.8626575</v>
      </c>
      <c r="K24" s="4">
        <f t="shared" si="13"/>
        <v>642.9039521</v>
      </c>
      <c r="L24" s="4">
        <f t="shared" si="13"/>
        <v>-4552.52505</v>
      </c>
      <c r="M24" s="4">
        <f t="shared" si="13"/>
        <v>986.5903523</v>
      </c>
      <c r="N24" s="4">
        <f t="shared" si="13"/>
        <v>1031.360048</v>
      </c>
      <c r="O24" s="7">
        <f>SUM(C24:N24)</f>
        <v>-140.5740295</v>
      </c>
      <c r="P24" s="1">
        <v>1.0</v>
      </c>
    </row>
    <row r="25" ht="15.75" customHeight="1">
      <c r="A25" s="1" t="s">
        <v>49</v>
      </c>
      <c r="B25" s="8" t="s">
        <v>50</v>
      </c>
      <c r="C25" s="9">
        <f>1+(B37/100)</f>
        <v>1.12</v>
      </c>
      <c r="D25" s="2">
        <f>POW(C25,1)</f>
        <v>1.12</v>
      </c>
      <c r="E25" s="2">
        <f>POW(C25,2)</f>
        <v>1.2544</v>
      </c>
      <c r="F25" s="2">
        <f>POW(C25,3)</f>
        <v>1.404928</v>
      </c>
      <c r="G25" s="2">
        <f>POW(C25,4)</f>
        <v>1.57351936</v>
      </c>
      <c r="H25" s="2">
        <f>POW(C25,5)</f>
        <v>1.762341683</v>
      </c>
      <c r="I25" s="2">
        <f>POW(C25,6)</f>
        <v>1.973822685</v>
      </c>
      <c r="J25" s="2">
        <f>POW(C25,7)</f>
        <v>2.210681407</v>
      </c>
      <c r="K25" s="2">
        <f>POW(C25,8)</f>
        <v>2.475963176</v>
      </c>
      <c r="L25" s="2">
        <f>POW(C25,9)</f>
        <v>2.773078757</v>
      </c>
      <c r="M25" s="2">
        <f>POW(C25,10)</f>
        <v>3.105848208</v>
      </c>
      <c r="N25" s="2">
        <f>POW(C25,11)</f>
        <v>3.478549993</v>
      </c>
      <c r="O25" s="7"/>
      <c r="P25" s="1">
        <v>1.0</v>
      </c>
    </row>
    <row r="26" ht="15.75" customHeight="1">
      <c r="A26" s="1"/>
      <c r="B26" s="1" t="s">
        <v>51</v>
      </c>
      <c r="C26" s="4">
        <f>C24</f>
        <v>-100</v>
      </c>
      <c r="D26" s="4">
        <f t="shared" ref="D26:N26" si="14">D24/(D25)</f>
        <v>337.4314916</v>
      </c>
      <c r="E26" s="4">
        <f t="shared" si="14"/>
        <v>327.3419809</v>
      </c>
      <c r="F26" s="4">
        <f t="shared" si="14"/>
        <v>317.4502854</v>
      </c>
      <c r="G26" s="4">
        <f t="shared" si="14"/>
        <v>-779.7715098</v>
      </c>
      <c r="H26" s="4">
        <f t="shared" si="14"/>
        <v>334.1058172</v>
      </c>
      <c r="I26" s="4">
        <f t="shared" si="14"/>
        <v>317.0878154</v>
      </c>
      <c r="J26" s="4">
        <f t="shared" si="14"/>
        <v>284.4655297</v>
      </c>
      <c r="K26" s="4">
        <f t="shared" si="14"/>
        <v>259.6581234</v>
      </c>
      <c r="L26" s="4">
        <f t="shared" si="14"/>
        <v>-1641.686172</v>
      </c>
      <c r="M26" s="4">
        <f t="shared" si="14"/>
        <v>317.6556889</v>
      </c>
      <c r="N26" s="4">
        <f t="shared" si="14"/>
        <v>296.4913685</v>
      </c>
      <c r="O26" s="7"/>
      <c r="P26" s="3">
        <v>1.0</v>
      </c>
    </row>
    <row r="27" ht="15.75" customHeight="1">
      <c r="A27" s="1"/>
      <c r="B27" s="1" t="s">
        <v>52</v>
      </c>
      <c r="C27" s="4">
        <f>SUM(C26)</f>
        <v>-100</v>
      </c>
      <c r="D27" s="4">
        <f>SUM(C26:D26)</f>
        <v>237.4314916</v>
      </c>
      <c r="E27" s="4">
        <f>SUM(C26:E26)</f>
        <v>564.7734724</v>
      </c>
      <c r="F27" s="4">
        <f>SUM(C26:F26)</f>
        <v>882.2237578</v>
      </c>
      <c r="G27" s="4">
        <f>SUM(C26:G26)</f>
        <v>102.452248</v>
      </c>
      <c r="H27" s="4">
        <f>SUM(C26:H26)</f>
        <v>436.5580651</v>
      </c>
      <c r="I27" s="4">
        <f>SUM(C26:I26)</f>
        <v>753.6458806</v>
      </c>
      <c r="J27" s="4">
        <f>SUM(C26:J26)</f>
        <v>1038.11141</v>
      </c>
      <c r="K27" s="4">
        <f>SUM(C26:K26)</f>
        <v>1297.769534</v>
      </c>
      <c r="L27" s="4">
        <f>SUM(C26:L26)</f>
        <v>-343.9166382</v>
      </c>
      <c r="M27" s="4">
        <f>SUM(C26:M26)</f>
        <v>-26.26094923</v>
      </c>
      <c r="N27" s="10">
        <f>SUM(C26:N26)</f>
        <v>270.2304193</v>
      </c>
      <c r="P27" s="1">
        <v>1.0</v>
      </c>
    </row>
    <row r="28" ht="15.75" customHeight="1">
      <c r="A28" s="1"/>
      <c r="D28" s="7"/>
      <c r="E28" s="7"/>
      <c r="F28" s="7"/>
      <c r="G28" s="7"/>
      <c r="H28" s="7"/>
    </row>
    <row r="29" ht="15.75" customHeight="1">
      <c r="A29" s="8"/>
      <c r="I29" s="7"/>
    </row>
    <row r="30" ht="15.75" customHeight="1">
      <c r="A30" s="1" t="s">
        <v>53</v>
      </c>
      <c r="H30" s="7"/>
    </row>
    <row r="31" ht="15.75" customHeight="1">
      <c r="A31" s="11" t="s">
        <v>54</v>
      </c>
    </row>
    <row r="32" ht="15.75" customHeight="1">
      <c r="A32" s="12"/>
      <c r="C32" s="7"/>
    </row>
    <row r="33" ht="15.75" customHeight="1">
      <c r="A33" s="13" t="s">
        <v>55</v>
      </c>
      <c r="C33" s="7"/>
    </row>
    <row r="34" ht="15.75" customHeight="1">
      <c r="A34" s="13" t="s">
        <v>56</v>
      </c>
      <c r="C34" s="7"/>
    </row>
    <row r="35" ht="15.75" customHeight="1">
      <c r="A35" s="13" t="s">
        <v>57</v>
      </c>
    </row>
    <row r="36" ht="15.75" customHeight="1">
      <c r="A36" s="1"/>
    </row>
    <row r="37" ht="15.75" customHeight="1">
      <c r="A37" s="14" t="s">
        <v>58</v>
      </c>
      <c r="B37" s="14">
        <v>12.0</v>
      </c>
      <c r="C37" s="14" t="s">
        <v>59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8.75"/>
    <col customWidth="1" min="3" max="6" width="12.63"/>
  </cols>
  <sheetData>
    <row r="1" ht="15.75" customHeight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62</v>
      </c>
      <c r="B2" s="15">
        <v>-0.5</v>
      </c>
      <c r="C2" s="16">
        <v>-100.0</v>
      </c>
      <c r="D2" s="16">
        <v>39.562</v>
      </c>
      <c r="E2" s="16">
        <v>174.6145</v>
      </c>
      <c r="F2" s="16">
        <v>303.9751</v>
      </c>
      <c r="G2" s="16">
        <v>-638.919</v>
      </c>
      <c r="H2" s="16">
        <v>-491.586</v>
      </c>
      <c r="I2" s="16">
        <v>-352.908</v>
      </c>
      <c r="J2" s="16">
        <v>-230.701</v>
      </c>
      <c r="K2" s="16">
        <v>-120.347</v>
      </c>
      <c r="L2" s="16">
        <v>-1895.76</v>
      </c>
      <c r="M2" s="16">
        <v>-1732.73</v>
      </c>
      <c r="N2" s="16">
        <v>-1582.19</v>
      </c>
    </row>
    <row r="3" ht="15.75" customHeight="1">
      <c r="B3" s="15">
        <v>-0.45</v>
      </c>
      <c r="C3" s="17">
        <v>-100.0</v>
      </c>
      <c r="D3" s="16">
        <v>59.34895</v>
      </c>
      <c r="E3" s="16">
        <v>213.6304</v>
      </c>
      <c r="F3" s="16">
        <v>361.8</v>
      </c>
      <c r="G3" s="16">
        <v>-564.782</v>
      </c>
      <c r="H3" s="16">
        <v>-398.772</v>
      </c>
      <c r="I3" s="17">
        <v>-242.253</v>
      </c>
      <c r="J3" s="17">
        <v>-103.819</v>
      </c>
      <c r="K3" s="17">
        <v>21.46471</v>
      </c>
      <c r="L3" s="17">
        <v>-1740.57</v>
      </c>
      <c r="M3" s="17">
        <v>-1562.08</v>
      </c>
      <c r="N3" s="17">
        <v>-1396.95</v>
      </c>
    </row>
    <row r="4" ht="15.75" customHeight="1">
      <c r="A4" s="1"/>
      <c r="B4" s="15">
        <v>-0.4</v>
      </c>
      <c r="C4" s="17">
        <v>-100.0</v>
      </c>
      <c r="D4" s="16">
        <v>79.1359</v>
      </c>
      <c r="E4" s="16">
        <v>252.6463</v>
      </c>
      <c r="F4" s="16">
        <v>419.6248</v>
      </c>
      <c r="G4" s="16">
        <v>-490.645</v>
      </c>
      <c r="H4" s="16">
        <v>-305.957</v>
      </c>
      <c r="I4" s="17">
        <v>-131.597</v>
      </c>
      <c r="J4" s="17">
        <v>23.06177</v>
      </c>
      <c r="K4" s="17">
        <v>163.2764</v>
      </c>
      <c r="L4" s="17">
        <v>-1585.39</v>
      </c>
      <c r="M4" s="17">
        <v>-1391.44</v>
      </c>
      <c r="N4" s="17">
        <v>-1211.71</v>
      </c>
    </row>
    <row r="5" ht="15.75" customHeight="1">
      <c r="A5" s="1"/>
      <c r="B5" s="15">
        <v>-0.35</v>
      </c>
      <c r="C5" s="17">
        <v>-100.0</v>
      </c>
      <c r="D5" s="16">
        <v>98.92285</v>
      </c>
      <c r="E5" s="16">
        <v>291.6622</v>
      </c>
      <c r="F5" s="16">
        <v>477.4497</v>
      </c>
      <c r="G5" s="16">
        <v>-416.508</v>
      </c>
      <c r="H5" s="16">
        <v>-213.143</v>
      </c>
      <c r="I5" s="17">
        <v>-20.9418</v>
      </c>
      <c r="J5" s="17">
        <v>149.943</v>
      </c>
      <c r="K5" s="17">
        <v>305.088</v>
      </c>
      <c r="L5" s="17">
        <v>-1430.2</v>
      </c>
      <c r="M5" s="17">
        <v>-1220.79</v>
      </c>
      <c r="N5" s="17">
        <v>-1026.47</v>
      </c>
    </row>
    <row r="6" ht="15.75" customHeight="1">
      <c r="A6" s="1"/>
      <c r="B6" s="15">
        <v>-0.3</v>
      </c>
      <c r="C6" s="17">
        <v>-100.0</v>
      </c>
      <c r="D6" s="16">
        <v>118.7098</v>
      </c>
      <c r="E6" s="16">
        <v>330.6781</v>
      </c>
      <c r="F6" s="16">
        <v>535.2746</v>
      </c>
      <c r="G6" s="16">
        <v>-342.371</v>
      </c>
      <c r="H6" s="16">
        <v>-120.328</v>
      </c>
      <c r="I6" s="17">
        <v>89.71359</v>
      </c>
      <c r="J6" s="17">
        <v>276.8242</v>
      </c>
      <c r="K6" s="17">
        <v>446.8997</v>
      </c>
      <c r="L6" s="17">
        <v>-1275.02</v>
      </c>
      <c r="M6" s="17">
        <v>-1050.14</v>
      </c>
      <c r="N6" s="17">
        <v>-841.234</v>
      </c>
    </row>
    <row r="7" ht="15.75" customHeight="1">
      <c r="A7" s="1"/>
      <c r="B7" s="15">
        <v>-0.25</v>
      </c>
      <c r="C7" s="18">
        <v>-100.0</v>
      </c>
      <c r="D7" s="16">
        <v>138.4967</v>
      </c>
      <c r="E7" s="16">
        <v>369.694</v>
      </c>
      <c r="F7" s="16">
        <v>593.0994</v>
      </c>
      <c r="G7" s="16">
        <v>-268.233</v>
      </c>
      <c r="H7" s="16">
        <v>-27.514</v>
      </c>
      <c r="I7" s="17">
        <v>200.369</v>
      </c>
      <c r="J7" s="17">
        <v>403.7054</v>
      </c>
      <c r="K7" s="18">
        <v>588.7113</v>
      </c>
      <c r="L7" s="18">
        <v>-1119.84</v>
      </c>
      <c r="M7" s="18">
        <v>-879.496</v>
      </c>
      <c r="N7" s="18">
        <v>-655.994</v>
      </c>
    </row>
    <row r="8" ht="15.75" customHeight="1">
      <c r="A8" s="1"/>
      <c r="B8" s="15">
        <v>-0.2</v>
      </c>
      <c r="C8" s="17">
        <v>-100.0</v>
      </c>
      <c r="D8" s="16">
        <v>158.2837</v>
      </c>
      <c r="E8" s="16">
        <v>408.7099</v>
      </c>
      <c r="F8" s="16">
        <v>650.9243</v>
      </c>
      <c r="G8" s="16">
        <v>-194.096</v>
      </c>
      <c r="H8" s="16">
        <v>65.30038</v>
      </c>
      <c r="I8" s="17">
        <v>311.0244</v>
      </c>
      <c r="J8" s="17">
        <v>530.5866</v>
      </c>
      <c r="K8" s="17">
        <v>730.5229</v>
      </c>
      <c r="L8" s="17">
        <v>-964.653</v>
      </c>
      <c r="M8" s="17">
        <v>-708.849</v>
      </c>
      <c r="N8" s="17">
        <v>-470.754</v>
      </c>
    </row>
    <row r="9" ht="15.75" customHeight="1">
      <c r="B9" s="15">
        <v>-0.15</v>
      </c>
      <c r="C9" s="16">
        <v>-100.0</v>
      </c>
      <c r="D9" s="16">
        <v>178.0706</v>
      </c>
      <c r="E9" s="16">
        <v>447.7258</v>
      </c>
      <c r="F9" s="16">
        <v>708.7492</v>
      </c>
      <c r="G9" s="16">
        <v>-119.959</v>
      </c>
      <c r="H9" s="16">
        <v>158.1148</v>
      </c>
      <c r="I9" s="16">
        <v>421.6797</v>
      </c>
      <c r="J9" s="16">
        <v>657.4678</v>
      </c>
      <c r="K9" s="16">
        <v>872.3346</v>
      </c>
      <c r="L9" s="16">
        <v>-809.469</v>
      </c>
      <c r="M9" s="16">
        <v>-538.202</v>
      </c>
      <c r="N9" s="16">
        <v>-285.514</v>
      </c>
      <c r="O9" s="5"/>
    </row>
    <row r="10" ht="15.75" customHeight="1">
      <c r="A10" s="1"/>
      <c r="B10" s="15">
        <v>-0.1</v>
      </c>
      <c r="C10" s="18">
        <v>-100.0</v>
      </c>
      <c r="D10" s="16">
        <v>197.8576</v>
      </c>
      <c r="E10" s="16">
        <v>486.7417</v>
      </c>
      <c r="F10" s="16">
        <v>766.574</v>
      </c>
      <c r="G10" s="16">
        <v>-45.8221</v>
      </c>
      <c r="H10" s="16">
        <v>250.9292</v>
      </c>
      <c r="I10" s="17">
        <v>532.3351</v>
      </c>
      <c r="J10" s="18">
        <v>784.349</v>
      </c>
      <c r="K10" s="18">
        <v>1014.146</v>
      </c>
      <c r="L10" s="18">
        <v>-654.285</v>
      </c>
      <c r="M10" s="18">
        <v>-367.555</v>
      </c>
      <c r="N10" s="18">
        <v>-100.275</v>
      </c>
    </row>
    <row r="11" ht="15.75" customHeight="1">
      <c r="A11" s="1"/>
      <c r="B11" s="15">
        <v>-0.05</v>
      </c>
      <c r="C11" s="18">
        <v>-100.0</v>
      </c>
      <c r="D11" s="16">
        <v>217.6445</v>
      </c>
      <c r="E11" s="16">
        <v>525.7576</v>
      </c>
      <c r="F11" s="16">
        <v>824.3989</v>
      </c>
      <c r="G11" s="16">
        <v>28.3151</v>
      </c>
      <c r="H11" s="16">
        <v>343.7436</v>
      </c>
      <c r="I11" s="18">
        <v>642.9905</v>
      </c>
      <c r="J11" s="18">
        <v>911.2302</v>
      </c>
      <c r="K11" s="18">
        <v>1155.958</v>
      </c>
      <c r="L11" s="18">
        <v>-499.101</v>
      </c>
      <c r="M11" s="18">
        <v>-196.908</v>
      </c>
      <c r="N11" s="18">
        <v>84.96545</v>
      </c>
    </row>
    <row r="12" ht="15.75" customHeight="1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</row>
    <row r="13" ht="15.75" customHeight="1">
      <c r="B13" s="15">
        <v>0.05</v>
      </c>
      <c r="C13" s="17">
        <v>-100.0</v>
      </c>
      <c r="D13" s="16">
        <v>257.2184</v>
      </c>
      <c r="E13" s="16">
        <v>603.7894</v>
      </c>
      <c r="F13" s="16">
        <v>940.0486</v>
      </c>
      <c r="G13" s="16">
        <v>176.5894</v>
      </c>
      <c r="H13" s="16">
        <v>529.3725</v>
      </c>
      <c r="I13" s="17">
        <v>864.3013</v>
      </c>
      <c r="J13" s="17">
        <v>1164.993</v>
      </c>
      <c r="K13" s="17">
        <v>1439.581</v>
      </c>
      <c r="L13" s="17">
        <v>-188.733</v>
      </c>
      <c r="M13" s="17">
        <v>144.3861</v>
      </c>
      <c r="N13" s="17">
        <v>455.4454</v>
      </c>
    </row>
    <row r="14" ht="15.75" customHeight="1">
      <c r="B14" s="15">
        <v>0.1</v>
      </c>
      <c r="C14" s="17">
        <v>-100.0</v>
      </c>
      <c r="D14" s="17">
        <v>277.0054</v>
      </c>
      <c r="E14" s="17">
        <v>642.8053</v>
      </c>
      <c r="F14" s="17">
        <v>997.8735</v>
      </c>
      <c r="G14" s="17">
        <v>250.7265</v>
      </c>
      <c r="H14" s="17">
        <v>622.1869</v>
      </c>
      <c r="I14" s="17">
        <v>974.9566</v>
      </c>
      <c r="J14" s="17">
        <v>1291.874</v>
      </c>
      <c r="K14" s="17">
        <v>1581.393</v>
      </c>
      <c r="L14" s="17">
        <v>-33.5487</v>
      </c>
      <c r="M14" s="17">
        <v>315.0331</v>
      </c>
      <c r="N14" s="17">
        <v>640.6853</v>
      </c>
    </row>
    <row r="15" ht="15.75" customHeight="1">
      <c r="B15" s="15">
        <v>0.15</v>
      </c>
      <c r="C15" s="17">
        <v>-100.0</v>
      </c>
      <c r="D15" s="16">
        <v>296.7923</v>
      </c>
      <c r="E15" s="16">
        <v>681.8212</v>
      </c>
      <c r="F15" s="16">
        <v>1055.698</v>
      </c>
      <c r="G15" s="16">
        <v>324.8637</v>
      </c>
      <c r="H15" s="16">
        <v>715.0013</v>
      </c>
      <c r="I15" s="17">
        <v>1085.612</v>
      </c>
      <c r="J15" s="17">
        <v>1418.755</v>
      </c>
      <c r="K15" s="17">
        <v>1723.204</v>
      </c>
      <c r="L15" s="17">
        <v>121.6353</v>
      </c>
      <c r="M15" s="17">
        <v>485.6801</v>
      </c>
      <c r="N15" s="17">
        <v>825.9253</v>
      </c>
    </row>
    <row r="16" ht="15.75" customHeight="1">
      <c r="B16" s="15">
        <v>0.2</v>
      </c>
      <c r="C16" s="17">
        <v>-100.0</v>
      </c>
      <c r="D16" s="17">
        <v>316.5793</v>
      </c>
      <c r="E16" s="17">
        <v>720.8371</v>
      </c>
      <c r="F16" s="17">
        <v>1113.523</v>
      </c>
      <c r="G16" s="17">
        <v>399.0008</v>
      </c>
      <c r="H16" s="17">
        <v>807.8158</v>
      </c>
      <c r="I16" s="17">
        <v>1196.267</v>
      </c>
      <c r="J16" s="17">
        <v>1545.636</v>
      </c>
      <c r="K16" s="17">
        <v>1865.016</v>
      </c>
      <c r="L16" s="17">
        <v>276.8192</v>
      </c>
      <c r="M16" s="17">
        <v>656.3272</v>
      </c>
      <c r="N16" s="17">
        <v>1011.165</v>
      </c>
    </row>
    <row r="17" ht="15.75" customHeight="1">
      <c r="B17" s="15">
        <v>0.25</v>
      </c>
      <c r="C17" s="17">
        <v>-100.0</v>
      </c>
      <c r="D17" s="16">
        <v>336.3662</v>
      </c>
      <c r="E17" s="16">
        <v>759.853</v>
      </c>
      <c r="F17" s="16">
        <v>1171.348</v>
      </c>
      <c r="G17" s="16">
        <v>473.138</v>
      </c>
      <c r="H17" s="16">
        <v>900.6302</v>
      </c>
      <c r="I17" s="17">
        <v>1306.923</v>
      </c>
      <c r="J17" s="17">
        <v>1672.517</v>
      </c>
      <c r="K17" s="17">
        <v>2006.828</v>
      </c>
      <c r="L17" s="17">
        <v>432.0032</v>
      </c>
      <c r="M17" s="17">
        <v>826.9742</v>
      </c>
      <c r="N17" s="17">
        <v>1196.405</v>
      </c>
    </row>
    <row r="18" ht="15.75" customHeight="1">
      <c r="B18" s="15">
        <v>0.3</v>
      </c>
      <c r="C18" s="17">
        <v>-100.0</v>
      </c>
      <c r="D18" s="17">
        <v>356.1532</v>
      </c>
      <c r="E18" s="17">
        <v>798.8688</v>
      </c>
      <c r="F18" s="17">
        <v>1229.173</v>
      </c>
      <c r="G18" s="17">
        <v>547.2751</v>
      </c>
      <c r="H18" s="17">
        <v>993.4446</v>
      </c>
      <c r="I18" s="17">
        <v>1417.578</v>
      </c>
      <c r="J18" s="17">
        <v>1799.399</v>
      </c>
      <c r="K18" s="17">
        <v>2148.639</v>
      </c>
      <c r="L18" s="17">
        <v>587.1872</v>
      </c>
      <c r="M18" s="17">
        <v>997.6212</v>
      </c>
      <c r="N18" s="17">
        <v>1381.645</v>
      </c>
    </row>
    <row r="19" ht="15.75" customHeight="1">
      <c r="B19" s="15">
        <v>0.35</v>
      </c>
      <c r="C19" s="17">
        <v>-100.0</v>
      </c>
      <c r="D19" s="17">
        <v>375.9401</v>
      </c>
      <c r="E19" s="17">
        <v>837.8847</v>
      </c>
      <c r="F19" s="17">
        <v>1286.998</v>
      </c>
      <c r="G19" s="17">
        <v>621.4123</v>
      </c>
      <c r="H19" s="17">
        <v>1086.259</v>
      </c>
      <c r="I19" s="17">
        <v>1528.234</v>
      </c>
      <c r="J19" s="17">
        <v>1926.28</v>
      </c>
      <c r="K19" s="17">
        <v>2290.451</v>
      </c>
      <c r="L19" s="17">
        <v>742.3712</v>
      </c>
      <c r="M19" s="17">
        <v>1168.268</v>
      </c>
      <c r="N19" s="17">
        <v>1566.885</v>
      </c>
    </row>
    <row r="20" ht="15.75" customHeight="1">
      <c r="B20" s="15">
        <v>0.4</v>
      </c>
      <c r="C20" s="17">
        <v>-100.0</v>
      </c>
      <c r="D20" s="16">
        <v>395.7271</v>
      </c>
      <c r="E20" s="16">
        <v>876.9006</v>
      </c>
      <c r="F20" s="16">
        <v>1344.823</v>
      </c>
      <c r="G20" s="16">
        <v>695.5494</v>
      </c>
      <c r="H20" s="16">
        <v>1179.073</v>
      </c>
      <c r="I20" s="17">
        <v>1638.889</v>
      </c>
      <c r="J20" s="17">
        <v>2053.161</v>
      </c>
      <c r="K20" s="17">
        <v>2432.263</v>
      </c>
      <c r="L20" s="17">
        <v>897.5551</v>
      </c>
      <c r="M20" s="17">
        <v>1338.915</v>
      </c>
      <c r="N20" s="17">
        <v>1752.125</v>
      </c>
    </row>
    <row r="21" ht="15.75" customHeight="1">
      <c r="B21" s="15">
        <v>0.45</v>
      </c>
      <c r="C21" s="17">
        <v>-100.0</v>
      </c>
      <c r="D21" s="17">
        <v>415.514</v>
      </c>
      <c r="E21" s="17">
        <v>915.9165</v>
      </c>
      <c r="F21" s="17">
        <v>1402.648</v>
      </c>
      <c r="G21" s="17">
        <v>769.6866</v>
      </c>
      <c r="H21" s="17">
        <v>1271.888</v>
      </c>
      <c r="I21" s="17">
        <v>1749.544</v>
      </c>
      <c r="J21" s="17">
        <v>2180.042</v>
      </c>
      <c r="K21" s="17">
        <v>2574.074</v>
      </c>
      <c r="L21" s="17">
        <v>1052.739</v>
      </c>
      <c r="M21" s="17">
        <v>1509.562</v>
      </c>
      <c r="N21" s="17">
        <v>1937.365</v>
      </c>
    </row>
    <row r="22" ht="15.75" customHeight="1">
      <c r="B22" s="15">
        <v>0.5</v>
      </c>
      <c r="C22" s="17">
        <v>-100.0</v>
      </c>
      <c r="D22" s="16">
        <v>435.301</v>
      </c>
      <c r="E22" s="16">
        <v>954.9324</v>
      </c>
      <c r="F22" s="16">
        <v>1460.472</v>
      </c>
      <c r="G22" s="16">
        <v>843.8237</v>
      </c>
      <c r="H22" s="16">
        <v>1364.702</v>
      </c>
      <c r="I22" s="17">
        <v>1860.2</v>
      </c>
      <c r="J22" s="17">
        <v>2306.923</v>
      </c>
      <c r="K22" s="17">
        <v>2715.886</v>
      </c>
      <c r="L22" s="17">
        <v>1207.923</v>
      </c>
      <c r="M22" s="17">
        <v>1680.209</v>
      </c>
      <c r="N22" s="17">
        <v>2122.605</v>
      </c>
    </row>
    <row r="23" ht="15.75" customHeight="1"/>
    <row r="24" ht="15.75" customHeight="1">
      <c r="C24" s="6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</row>
    <row r="25" ht="15.75" customHeight="1"/>
    <row r="26" ht="15.75" customHeight="1"/>
    <row r="27" ht="15.75" customHeight="1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C28" s="6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</row>
    <row r="29" ht="15.75" customHeight="1"/>
    <row r="30" ht="15.75" customHeight="1"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7"/>
    </row>
    <row r="31" ht="15.75" customHeight="1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/>
    <row r="33" ht="15.75" customHeight="1"/>
    <row r="34" ht="15.75" customHeight="1">
      <c r="C34" s="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7"/>
    </row>
    <row r="35" ht="15.7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4" t="s">
        <v>64</v>
      </c>
      <c r="B2" s="15">
        <v>-0.5</v>
      </c>
      <c r="C2" s="17">
        <v>-100.0</v>
      </c>
      <c r="D2" s="16">
        <v>39.562</v>
      </c>
      <c r="E2" s="16">
        <v>174.6145</v>
      </c>
      <c r="F2" s="16">
        <v>303.9751</v>
      </c>
      <c r="G2" s="16">
        <v>-638.919</v>
      </c>
      <c r="H2" s="16">
        <v>-491.586</v>
      </c>
      <c r="I2" s="17">
        <v>-352.908</v>
      </c>
      <c r="J2" s="17">
        <v>-230.701</v>
      </c>
      <c r="K2" s="17">
        <v>-120.347</v>
      </c>
      <c r="L2" s="17">
        <v>-1895.76</v>
      </c>
      <c r="M2" s="17">
        <v>-1732.73</v>
      </c>
      <c r="N2" s="17">
        <v>-1582.19</v>
      </c>
    </row>
    <row r="3" ht="15.75" customHeight="1">
      <c r="A3" s="1"/>
      <c r="B3" s="15">
        <v>-0.45</v>
      </c>
      <c r="C3" s="17">
        <v>-100.0</v>
      </c>
      <c r="D3" s="16">
        <v>59.34895</v>
      </c>
      <c r="E3" s="16">
        <v>213.6304</v>
      </c>
      <c r="F3" s="16">
        <v>361.8</v>
      </c>
      <c r="G3" s="16">
        <v>-564.782</v>
      </c>
      <c r="H3" s="16">
        <v>-398.772</v>
      </c>
      <c r="I3" s="17">
        <v>-242.253</v>
      </c>
      <c r="J3" s="17">
        <v>-103.819</v>
      </c>
      <c r="K3" s="17">
        <v>21.46471</v>
      </c>
      <c r="L3" s="17">
        <v>-1740.57</v>
      </c>
      <c r="M3" s="17">
        <v>-1562.08</v>
      </c>
      <c r="N3" s="17">
        <v>-1396.95</v>
      </c>
    </row>
    <row r="4" ht="15.75" customHeight="1">
      <c r="A4" s="1"/>
      <c r="B4" s="15">
        <v>-0.4</v>
      </c>
      <c r="C4" s="17">
        <v>-100.0</v>
      </c>
      <c r="D4" s="16">
        <v>79.1359</v>
      </c>
      <c r="E4" s="16">
        <v>252.6463</v>
      </c>
      <c r="F4" s="16">
        <v>419.6248</v>
      </c>
      <c r="G4" s="16">
        <v>-490.645</v>
      </c>
      <c r="H4" s="16">
        <v>-305.957</v>
      </c>
      <c r="I4" s="17">
        <v>-131.597</v>
      </c>
      <c r="J4" s="17">
        <v>23.06177</v>
      </c>
      <c r="K4" s="17">
        <v>163.2764</v>
      </c>
      <c r="L4" s="17">
        <v>-1585.39</v>
      </c>
      <c r="M4" s="17">
        <v>-1391.44</v>
      </c>
      <c r="N4" s="17">
        <v>-1211.71</v>
      </c>
    </row>
    <row r="5" ht="15.75" customHeight="1">
      <c r="A5" s="1"/>
      <c r="B5" s="15">
        <v>-0.35</v>
      </c>
      <c r="C5" s="17">
        <v>-100.0</v>
      </c>
      <c r="D5" s="16">
        <v>98.92285</v>
      </c>
      <c r="E5" s="16">
        <v>291.6622</v>
      </c>
      <c r="F5" s="16">
        <v>477.4497</v>
      </c>
      <c r="G5" s="16">
        <v>-416.508</v>
      </c>
      <c r="H5" s="16">
        <v>-213.143</v>
      </c>
      <c r="I5" s="17">
        <v>-20.9418</v>
      </c>
      <c r="J5" s="17">
        <v>149.943</v>
      </c>
      <c r="K5" s="17">
        <v>305.088</v>
      </c>
      <c r="L5" s="17">
        <v>-1430.2</v>
      </c>
      <c r="M5" s="17">
        <v>-1220.79</v>
      </c>
      <c r="N5" s="17">
        <v>-1026.47</v>
      </c>
    </row>
    <row r="6" ht="15.75" customHeight="1">
      <c r="A6" s="1"/>
      <c r="B6" s="15">
        <v>-0.3</v>
      </c>
      <c r="C6" s="17">
        <v>-100.0</v>
      </c>
      <c r="D6" s="16">
        <v>118.7098</v>
      </c>
      <c r="E6" s="16">
        <v>330.6781</v>
      </c>
      <c r="F6" s="16">
        <v>535.2746</v>
      </c>
      <c r="G6" s="16">
        <v>-342.371</v>
      </c>
      <c r="H6" s="16">
        <v>-120.328</v>
      </c>
      <c r="I6" s="17">
        <v>89.71359</v>
      </c>
      <c r="J6" s="17">
        <v>276.8242</v>
      </c>
      <c r="K6" s="17">
        <v>446.8997</v>
      </c>
      <c r="L6" s="17">
        <v>-1275.02</v>
      </c>
      <c r="M6" s="17">
        <v>-1050.14</v>
      </c>
      <c r="N6" s="17">
        <v>-841.234</v>
      </c>
    </row>
    <row r="7" ht="15.75" customHeight="1">
      <c r="A7" s="1"/>
      <c r="B7" s="15">
        <v>-0.25</v>
      </c>
      <c r="C7" s="17">
        <v>-100.0</v>
      </c>
      <c r="D7" s="16">
        <v>138.4967</v>
      </c>
      <c r="E7" s="16">
        <v>369.694</v>
      </c>
      <c r="F7" s="16">
        <v>593.0994</v>
      </c>
      <c r="G7" s="16">
        <v>-268.233</v>
      </c>
      <c r="H7" s="16">
        <v>-27.514</v>
      </c>
      <c r="I7" s="17">
        <v>200.369</v>
      </c>
      <c r="J7" s="17">
        <v>403.7054</v>
      </c>
      <c r="K7" s="17">
        <v>588.7113</v>
      </c>
      <c r="L7" s="17">
        <v>-1119.84</v>
      </c>
      <c r="M7" s="17">
        <v>-879.496</v>
      </c>
      <c r="N7" s="17">
        <v>-655.994</v>
      </c>
    </row>
    <row r="8" ht="15.75" customHeight="1">
      <c r="B8" s="15">
        <v>-0.2</v>
      </c>
      <c r="C8" s="16">
        <v>-100.0</v>
      </c>
      <c r="D8" s="16">
        <v>158.2837</v>
      </c>
      <c r="E8" s="16">
        <v>408.7099</v>
      </c>
      <c r="F8" s="16">
        <v>650.9243</v>
      </c>
      <c r="G8" s="16">
        <v>-194.096</v>
      </c>
      <c r="H8" s="16">
        <v>65.30038</v>
      </c>
      <c r="I8" s="16">
        <v>311.0244</v>
      </c>
      <c r="J8" s="16">
        <v>530.5866</v>
      </c>
      <c r="K8" s="16">
        <v>730.5229</v>
      </c>
      <c r="L8" s="16">
        <v>-964.653</v>
      </c>
      <c r="M8" s="16">
        <v>-708.849</v>
      </c>
      <c r="N8" s="16">
        <v>-470.754</v>
      </c>
    </row>
    <row r="9" ht="15.75" customHeight="1">
      <c r="A9" s="1"/>
      <c r="B9" s="15">
        <v>-0.15</v>
      </c>
      <c r="C9" s="17">
        <v>-100.0</v>
      </c>
      <c r="D9" s="16">
        <v>178.0706</v>
      </c>
      <c r="E9" s="16">
        <v>447.7258</v>
      </c>
      <c r="F9" s="16">
        <v>708.7492</v>
      </c>
      <c r="G9" s="16">
        <v>-119.959</v>
      </c>
      <c r="H9" s="16">
        <v>158.1148</v>
      </c>
      <c r="I9" s="17">
        <v>421.6797</v>
      </c>
      <c r="J9" s="17">
        <v>657.4678</v>
      </c>
      <c r="K9" s="17">
        <v>872.3346</v>
      </c>
      <c r="L9" s="17">
        <v>-809.469</v>
      </c>
      <c r="M9" s="17">
        <v>-538.202</v>
      </c>
      <c r="N9" s="17">
        <v>-285.514</v>
      </c>
    </row>
    <row r="10" ht="15.75" customHeight="1">
      <c r="A10" s="1"/>
      <c r="B10" s="15">
        <v>-0.1</v>
      </c>
      <c r="C10" s="17">
        <v>-100.0</v>
      </c>
      <c r="D10" s="16">
        <v>197.8576</v>
      </c>
      <c r="E10" s="16">
        <v>486.7417</v>
      </c>
      <c r="F10" s="16">
        <v>766.574</v>
      </c>
      <c r="G10" s="16">
        <v>-45.8221</v>
      </c>
      <c r="H10" s="16">
        <v>250.9292</v>
      </c>
      <c r="I10" s="17">
        <v>532.3351</v>
      </c>
      <c r="J10" s="17">
        <v>784.349</v>
      </c>
      <c r="K10" s="17">
        <v>1014.146</v>
      </c>
      <c r="L10" s="17">
        <v>-654.285</v>
      </c>
      <c r="M10" s="17">
        <v>-367.555</v>
      </c>
      <c r="N10" s="17">
        <v>-100.275</v>
      </c>
    </row>
    <row r="11" ht="15.75" customHeight="1">
      <c r="B11" s="15">
        <v>-0.05</v>
      </c>
      <c r="C11" s="17">
        <v>-100.0</v>
      </c>
      <c r="D11" s="17">
        <v>217.6445</v>
      </c>
      <c r="E11" s="17">
        <v>525.7576</v>
      </c>
      <c r="F11" s="17">
        <v>824.3989</v>
      </c>
      <c r="G11" s="17">
        <v>28.3151</v>
      </c>
      <c r="H11" s="17">
        <v>343.7436</v>
      </c>
      <c r="I11" s="17">
        <v>642.9905</v>
      </c>
      <c r="J11" s="17">
        <v>911.2302</v>
      </c>
      <c r="K11" s="17">
        <v>1155.958</v>
      </c>
      <c r="L11" s="17">
        <v>-499.101</v>
      </c>
      <c r="M11" s="17">
        <v>-196.908</v>
      </c>
      <c r="N11" s="17">
        <v>84.96545</v>
      </c>
    </row>
    <row r="12" ht="15.75" customHeight="1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</row>
    <row r="13" ht="15.75" customHeight="1">
      <c r="B13" s="15">
        <v>0.05</v>
      </c>
      <c r="C13" s="17">
        <v>-100.0</v>
      </c>
      <c r="D13" s="17">
        <v>257.2184</v>
      </c>
      <c r="E13" s="17">
        <v>603.7894</v>
      </c>
      <c r="F13" s="17">
        <v>940.0486</v>
      </c>
      <c r="G13" s="17">
        <v>176.5894</v>
      </c>
      <c r="H13" s="17">
        <v>529.3725</v>
      </c>
      <c r="I13" s="17">
        <v>864.3013</v>
      </c>
      <c r="J13" s="17">
        <v>1164.993</v>
      </c>
      <c r="K13" s="17">
        <v>1439.581</v>
      </c>
      <c r="L13" s="17">
        <v>-188.733</v>
      </c>
      <c r="M13" s="17">
        <v>144.3861</v>
      </c>
      <c r="N13" s="17">
        <v>455.4454</v>
      </c>
    </row>
    <row r="14" ht="15.75" customHeight="1">
      <c r="B14" s="15">
        <v>0.1</v>
      </c>
      <c r="C14" s="17">
        <v>-100.0</v>
      </c>
      <c r="D14" s="17">
        <v>277.0054</v>
      </c>
      <c r="E14" s="17">
        <v>642.8053</v>
      </c>
      <c r="F14" s="17">
        <v>997.8735</v>
      </c>
      <c r="G14" s="17">
        <v>250.7265</v>
      </c>
      <c r="H14" s="17">
        <v>622.1869</v>
      </c>
      <c r="I14" s="17">
        <v>974.9566</v>
      </c>
      <c r="J14" s="17">
        <v>1291.874</v>
      </c>
      <c r="K14" s="17">
        <v>1581.393</v>
      </c>
      <c r="L14" s="17">
        <v>-33.5487</v>
      </c>
      <c r="M14" s="17">
        <v>315.0331</v>
      </c>
      <c r="N14" s="17">
        <v>640.6853</v>
      </c>
    </row>
    <row r="15" ht="15.75" customHeight="1">
      <c r="B15" s="15">
        <v>0.15</v>
      </c>
      <c r="C15" s="17">
        <v>-100.0</v>
      </c>
      <c r="D15" s="17">
        <v>296.7923</v>
      </c>
      <c r="E15" s="17">
        <v>681.8212</v>
      </c>
      <c r="F15" s="17">
        <v>1055.698</v>
      </c>
      <c r="G15" s="17">
        <v>324.8637</v>
      </c>
      <c r="H15" s="17">
        <v>715.0013</v>
      </c>
      <c r="I15" s="17">
        <v>1085.612</v>
      </c>
      <c r="J15" s="17">
        <v>1418.755</v>
      </c>
      <c r="K15" s="17">
        <v>1723.204</v>
      </c>
      <c r="L15" s="17">
        <v>121.6353</v>
      </c>
      <c r="M15" s="17">
        <v>485.6801</v>
      </c>
      <c r="N15" s="17">
        <v>825.9253</v>
      </c>
    </row>
    <row r="16" ht="15.75" customHeight="1">
      <c r="B16" s="15">
        <v>0.2</v>
      </c>
      <c r="C16" s="17">
        <v>-100.0</v>
      </c>
      <c r="D16" s="17">
        <v>316.5793</v>
      </c>
      <c r="E16" s="17">
        <v>720.8371</v>
      </c>
      <c r="F16" s="17">
        <v>1113.523</v>
      </c>
      <c r="G16" s="17">
        <v>399.0008</v>
      </c>
      <c r="H16" s="17">
        <v>807.8158</v>
      </c>
      <c r="I16" s="17">
        <v>1196.267</v>
      </c>
      <c r="J16" s="17">
        <v>1545.636</v>
      </c>
      <c r="K16" s="17">
        <v>1865.016</v>
      </c>
      <c r="L16" s="17">
        <v>276.8192</v>
      </c>
      <c r="M16" s="17">
        <v>656.3272</v>
      </c>
      <c r="N16" s="17">
        <v>1011.165</v>
      </c>
    </row>
    <row r="17" ht="15.75" customHeight="1">
      <c r="B17" s="15">
        <v>0.25</v>
      </c>
      <c r="C17" s="17">
        <v>-100.0</v>
      </c>
      <c r="D17" s="17">
        <v>336.3662</v>
      </c>
      <c r="E17" s="17">
        <v>759.853</v>
      </c>
      <c r="F17" s="17">
        <v>1171.348</v>
      </c>
      <c r="G17" s="17">
        <v>473.138</v>
      </c>
      <c r="H17" s="17">
        <v>900.6302</v>
      </c>
      <c r="I17" s="17">
        <v>1306.923</v>
      </c>
      <c r="J17" s="17">
        <v>1672.517</v>
      </c>
      <c r="K17" s="17">
        <v>2006.828</v>
      </c>
      <c r="L17" s="17">
        <v>432.0032</v>
      </c>
      <c r="M17" s="17">
        <v>826.9742</v>
      </c>
      <c r="N17" s="17">
        <v>1196.405</v>
      </c>
    </row>
    <row r="18" ht="15.75" customHeight="1">
      <c r="B18" s="15">
        <v>0.3</v>
      </c>
      <c r="C18" s="17">
        <v>-100.0</v>
      </c>
      <c r="D18" s="17">
        <v>356.1532</v>
      </c>
      <c r="E18" s="17">
        <v>798.8688</v>
      </c>
      <c r="F18" s="17">
        <v>1229.173</v>
      </c>
      <c r="G18" s="17">
        <v>547.2751</v>
      </c>
      <c r="H18" s="17">
        <v>993.4446</v>
      </c>
      <c r="I18" s="17">
        <v>1417.578</v>
      </c>
      <c r="J18" s="17">
        <v>1799.399</v>
      </c>
      <c r="K18" s="17">
        <v>2148.639</v>
      </c>
      <c r="L18" s="17">
        <v>587.1872</v>
      </c>
      <c r="M18" s="17">
        <v>997.6212</v>
      </c>
      <c r="N18" s="17">
        <v>1381.645</v>
      </c>
    </row>
    <row r="19" ht="15.75" customHeight="1">
      <c r="B19" s="15">
        <v>0.35</v>
      </c>
      <c r="C19" s="17">
        <v>-100.0</v>
      </c>
      <c r="D19" s="17">
        <v>375.9401</v>
      </c>
      <c r="E19" s="17">
        <v>837.8847</v>
      </c>
      <c r="F19" s="17">
        <v>1286.998</v>
      </c>
      <c r="G19" s="17">
        <v>621.4123</v>
      </c>
      <c r="H19" s="17">
        <v>1086.259</v>
      </c>
      <c r="I19" s="17">
        <v>1528.234</v>
      </c>
      <c r="J19" s="17">
        <v>1926.28</v>
      </c>
      <c r="K19" s="17">
        <v>2290.451</v>
      </c>
      <c r="L19" s="17">
        <v>742.3712</v>
      </c>
      <c r="M19" s="17">
        <v>1168.268</v>
      </c>
      <c r="N19" s="17">
        <v>1566.885</v>
      </c>
    </row>
    <row r="20" ht="15.75" customHeight="1">
      <c r="B20" s="15">
        <v>0.4</v>
      </c>
      <c r="C20" s="17">
        <v>-100.0</v>
      </c>
      <c r="D20" s="17">
        <v>395.7271</v>
      </c>
      <c r="E20" s="17">
        <v>876.9006</v>
      </c>
      <c r="F20" s="17">
        <v>1344.823</v>
      </c>
      <c r="G20" s="17">
        <v>695.5494</v>
      </c>
      <c r="H20" s="17">
        <v>1179.073</v>
      </c>
      <c r="I20" s="17">
        <v>1638.889</v>
      </c>
      <c r="J20" s="17">
        <v>2053.161</v>
      </c>
      <c r="K20" s="17">
        <v>2432.263</v>
      </c>
      <c r="L20" s="17">
        <v>897.5551</v>
      </c>
      <c r="M20" s="17">
        <v>1338.915</v>
      </c>
      <c r="N20" s="17">
        <v>1752.125</v>
      </c>
    </row>
    <row r="21" ht="15.75" customHeight="1">
      <c r="B21" s="15">
        <v>0.45</v>
      </c>
      <c r="C21" s="17">
        <v>-100.0</v>
      </c>
      <c r="D21" s="17">
        <v>415.514</v>
      </c>
      <c r="E21" s="17">
        <v>915.9165</v>
      </c>
      <c r="F21" s="17">
        <v>1402.648</v>
      </c>
      <c r="G21" s="17">
        <v>769.6866</v>
      </c>
      <c r="H21" s="17">
        <v>1271.888</v>
      </c>
      <c r="I21" s="17">
        <v>1749.544</v>
      </c>
      <c r="J21" s="17">
        <v>2180.042</v>
      </c>
      <c r="K21" s="17">
        <v>2574.074</v>
      </c>
      <c r="L21" s="17">
        <v>1052.739</v>
      </c>
      <c r="M21" s="17">
        <v>1509.562</v>
      </c>
      <c r="N21" s="17">
        <v>1937.365</v>
      </c>
    </row>
    <row r="22" ht="15.75" customHeight="1">
      <c r="B22" s="15">
        <v>0.5</v>
      </c>
      <c r="C22" s="17">
        <v>-100.0</v>
      </c>
      <c r="D22" s="17">
        <v>435.301</v>
      </c>
      <c r="E22" s="17">
        <v>954.9324</v>
      </c>
      <c r="F22" s="17">
        <v>1460.472</v>
      </c>
      <c r="G22" s="17">
        <v>843.8237</v>
      </c>
      <c r="H22" s="17">
        <v>1364.702</v>
      </c>
      <c r="I22" s="17">
        <v>1860.2</v>
      </c>
      <c r="J22" s="17">
        <v>2306.923</v>
      </c>
      <c r="K22" s="17">
        <v>2715.886</v>
      </c>
      <c r="L22" s="17">
        <v>1207.923</v>
      </c>
      <c r="M22" s="17">
        <v>1680.209</v>
      </c>
      <c r="N22" s="17">
        <v>2122.605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9" t="s">
        <v>0</v>
      </c>
      <c r="B1" s="19" t="s">
        <v>63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>
      <c r="A2" s="20" t="s">
        <v>65</v>
      </c>
      <c r="B2" s="15">
        <v>-0.5</v>
      </c>
      <c r="C2" s="16">
        <v>-100.0</v>
      </c>
      <c r="D2" s="16">
        <v>265.2951</v>
      </c>
      <c r="E2" s="16">
        <v>619.6954</v>
      </c>
      <c r="F2" s="16">
        <v>965.2704</v>
      </c>
      <c r="G2" s="16">
        <v>213.825</v>
      </c>
      <c r="H2" s="16">
        <v>576.8236</v>
      </c>
      <c r="I2" s="16">
        <v>921.6581</v>
      </c>
      <c r="J2" s="16">
        <v>1232.91</v>
      </c>
      <c r="K2" s="16">
        <v>1517.858</v>
      </c>
      <c r="L2" s="16">
        <v>-99.8509</v>
      </c>
      <c r="M2" s="16">
        <v>240.1778</v>
      </c>
      <c r="N2" s="16">
        <v>557.6687</v>
      </c>
    </row>
    <row r="3">
      <c r="A3" s="19"/>
      <c r="B3" s="15">
        <v>-0.45</v>
      </c>
      <c r="C3" s="17">
        <v>-100.0</v>
      </c>
      <c r="D3" s="16">
        <v>262.5087</v>
      </c>
      <c r="E3" s="16">
        <v>614.2032</v>
      </c>
      <c r="F3" s="16">
        <v>956.9658</v>
      </c>
      <c r="G3" s="16">
        <v>202.6878</v>
      </c>
      <c r="H3" s="16">
        <v>562.797</v>
      </c>
      <c r="I3" s="17">
        <v>904.8569</v>
      </c>
      <c r="J3" s="17">
        <v>1213.43</v>
      </c>
      <c r="K3" s="17">
        <v>1495.849</v>
      </c>
      <c r="L3" s="17">
        <v>-124.257</v>
      </c>
      <c r="M3" s="17">
        <v>213.5339</v>
      </c>
      <c r="N3" s="17">
        <v>528.9224</v>
      </c>
    </row>
    <row r="4">
      <c r="A4" s="19"/>
      <c r="B4" s="15">
        <v>-0.4</v>
      </c>
      <c r="C4" s="17">
        <v>-100.0</v>
      </c>
      <c r="D4" s="16">
        <v>259.7223</v>
      </c>
      <c r="E4" s="16">
        <v>608.711</v>
      </c>
      <c r="F4" s="16">
        <v>948.6611</v>
      </c>
      <c r="G4" s="16">
        <v>191.5505</v>
      </c>
      <c r="H4" s="16">
        <v>548.7705</v>
      </c>
      <c r="I4" s="17">
        <v>888.0556</v>
      </c>
      <c r="J4" s="17">
        <v>1193.951</v>
      </c>
      <c r="K4" s="17">
        <v>1473.84</v>
      </c>
      <c r="L4" s="17">
        <v>-148.664</v>
      </c>
      <c r="M4" s="17">
        <v>186.8901</v>
      </c>
      <c r="N4" s="17">
        <v>500.1761</v>
      </c>
    </row>
    <row r="5">
      <c r="A5" s="19"/>
      <c r="B5" s="15">
        <v>-0.35</v>
      </c>
      <c r="C5" s="17">
        <v>-100.0</v>
      </c>
      <c r="D5" s="16">
        <v>256.936</v>
      </c>
      <c r="E5" s="16">
        <v>603.2188</v>
      </c>
      <c r="F5" s="16">
        <v>940.3564</v>
      </c>
      <c r="G5" s="16">
        <v>180.4132</v>
      </c>
      <c r="H5" s="16">
        <v>534.7439</v>
      </c>
      <c r="I5" s="17">
        <v>871.2544</v>
      </c>
      <c r="J5" s="17">
        <v>1174.471</v>
      </c>
      <c r="K5" s="17">
        <v>1451.831</v>
      </c>
      <c r="L5" s="17">
        <v>-173.071</v>
      </c>
      <c r="M5" s="17">
        <v>160.2462</v>
      </c>
      <c r="N5" s="17">
        <v>471.4297</v>
      </c>
    </row>
    <row r="6">
      <c r="A6" s="19"/>
      <c r="B6" s="15">
        <v>-0.3</v>
      </c>
      <c r="C6" s="17">
        <v>-100.0</v>
      </c>
      <c r="D6" s="16">
        <v>254.1496</v>
      </c>
      <c r="E6" s="16">
        <v>597.7266</v>
      </c>
      <c r="F6" s="16">
        <v>932.0518</v>
      </c>
      <c r="G6" s="16">
        <v>169.2759</v>
      </c>
      <c r="H6" s="16">
        <v>520.7174</v>
      </c>
      <c r="I6" s="17">
        <v>854.4532</v>
      </c>
      <c r="J6" s="17">
        <v>1154.991</v>
      </c>
      <c r="K6" s="17">
        <v>1429.823</v>
      </c>
      <c r="L6" s="17">
        <v>-197.477</v>
      </c>
      <c r="M6" s="17">
        <v>133.6023</v>
      </c>
      <c r="N6" s="17">
        <v>442.6834</v>
      </c>
    </row>
    <row r="7">
      <c r="A7" s="19"/>
      <c r="B7" s="15">
        <v>-0.25</v>
      </c>
      <c r="C7" s="17">
        <v>-100.0</v>
      </c>
      <c r="D7" s="16">
        <v>251.3633</v>
      </c>
      <c r="E7" s="16">
        <v>592.2344</v>
      </c>
      <c r="F7" s="16">
        <v>923.7471</v>
      </c>
      <c r="G7" s="16">
        <v>158.1386</v>
      </c>
      <c r="H7" s="16">
        <v>506.6908</v>
      </c>
      <c r="I7" s="17">
        <v>837.652</v>
      </c>
      <c r="J7" s="17">
        <v>1135.511</v>
      </c>
      <c r="K7" s="17">
        <v>1407.814</v>
      </c>
      <c r="L7" s="17">
        <v>-221.884</v>
      </c>
      <c r="M7" s="17">
        <v>106.9584</v>
      </c>
      <c r="N7" s="17">
        <v>413.9371</v>
      </c>
    </row>
    <row r="8">
      <c r="A8" s="19"/>
      <c r="B8" s="15">
        <v>-0.2</v>
      </c>
      <c r="C8" s="17">
        <v>-100.0</v>
      </c>
      <c r="D8" s="16">
        <v>248.5769</v>
      </c>
      <c r="E8" s="16">
        <v>586.7422</v>
      </c>
      <c r="F8" s="16">
        <v>915.4424</v>
      </c>
      <c r="G8" s="16">
        <v>147.0014</v>
      </c>
      <c r="H8" s="16">
        <v>492.6643</v>
      </c>
      <c r="I8" s="17">
        <v>820.8508</v>
      </c>
      <c r="J8" s="17">
        <v>1116.031</v>
      </c>
      <c r="K8" s="17">
        <v>1385.805</v>
      </c>
      <c r="L8" s="17">
        <v>-246.29</v>
      </c>
      <c r="M8" s="17">
        <v>80.31456</v>
      </c>
      <c r="N8" s="17">
        <v>385.1907</v>
      </c>
    </row>
    <row r="9">
      <c r="A9" s="19"/>
      <c r="B9" s="15">
        <v>-0.15</v>
      </c>
      <c r="C9" s="16">
        <v>-100.0</v>
      </c>
      <c r="D9" s="16">
        <v>245.7906</v>
      </c>
      <c r="E9" s="16">
        <v>581.2501</v>
      </c>
      <c r="F9" s="16">
        <v>907.1378</v>
      </c>
      <c r="G9" s="16">
        <v>135.8641</v>
      </c>
      <c r="H9" s="16">
        <v>478.6377</v>
      </c>
      <c r="I9" s="16">
        <v>804.0495</v>
      </c>
      <c r="J9" s="16">
        <v>1096.551</v>
      </c>
      <c r="K9" s="16">
        <v>1363.796</v>
      </c>
      <c r="L9" s="16">
        <v>-270.697</v>
      </c>
      <c r="M9" s="16">
        <v>53.67068</v>
      </c>
      <c r="N9" s="16">
        <v>356.4444</v>
      </c>
    </row>
    <row r="10">
      <c r="A10" s="19"/>
      <c r="B10" s="15">
        <v>-0.1</v>
      </c>
      <c r="C10" s="17">
        <v>-100.0</v>
      </c>
      <c r="D10" s="16">
        <v>243.0042</v>
      </c>
      <c r="E10" s="16">
        <v>575.7579</v>
      </c>
      <c r="F10" s="16">
        <v>898.8331</v>
      </c>
      <c r="G10" s="16">
        <v>124.7268</v>
      </c>
      <c r="H10" s="16">
        <v>464.6112</v>
      </c>
      <c r="I10" s="17">
        <v>787.2483</v>
      </c>
      <c r="J10" s="17">
        <v>1077.071</v>
      </c>
      <c r="K10" s="17">
        <v>1341.787</v>
      </c>
      <c r="L10" s="17">
        <v>-295.103</v>
      </c>
      <c r="M10" s="17">
        <v>27.0268</v>
      </c>
      <c r="N10" s="17">
        <v>327.6981</v>
      </c>
    </row>
    <row r="11">
      <c r="A11" s="19"/>
      <c r="B11" s="15">
        <v>-0.05</v>
      </c>
      <c r="C11" s="17">
        <v>-100.0</v>
      </c>
      <c r="D11" s="16">
        <v>240.2178</v>
      </c>
      <c r="E11" s="16">
        <v>570.2657</v>
      </c>
      <c r="F11" s="16">
        <v>890.5284</v>
      </c>
      <c r="G11" s="16">
        <v>113.5895</v>
      </c>
      <c r="H11" s="16">
        <v>450.5846</v>
      </c>
      <c r="I11" s="17">
        <v>770.4471</v>
      </c>
      <c r="J11" s="17">
        <v>1057.591</v>
      </c>
      <c r="K11" s="17">
        <v>1319.778</v>
      </c>
      <c r="L11" s="17">
        <v>-319.51</v>
      </c>
      <c r="M11" s="17">
        <v>0.382927</v>
      </c>
      <c r="N11" s="17">
        <v>298.9517</v>
      </c>
    </row>
    <row r="12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</row>
    <row r="13">
      <c r="B13" s="15">
        <v>0.05</v>
      </c>
      <c r="C13" s="17">
        <v>-100.0</v>
      </c>
      <c r="D13" s="17">
        <v>234.6451</v>
      </c>
      <c r="E13" s="17">
        <v>559.2813</v>
      </c>
      <c r="F13" s="17">
        <v>873.9191</v>
      </c>
      <c r="G13" s="17">
        <v>91.31497</v>
      </c>
      <c r="H13" s="17">
        <v>422.5315</v>
      </c>
      <c r="I13" s="17">
        <v>736.8447</v>
      </c>
      <c r="J13" s="17">
        <v>1018.632</v>
      </c>
      <c r="K13" s="17">
        <v>1275.761</v>
      </c>
      <c r="L13" s="17">
        <v>-368.323</v>
      </c>
      <c r="M13" s="17">
        <v>-52.9048</v>
      </c>
      <c r="N13" s="17">
        <v>241.4591</v>
      </c>
    </row>
    <row r="14">
      <c r="B14" s="15">
        <v>0.1</v>
      </c>
      <c r="C14" s="17">
        <v>-100.0</v>
      </c>
      <c r="D14" s="17">
        <v>231.8588</v>
      </c>
      <c r="E14" s="17">
        <v>553.7891</v>
      </c>
      <c r="F14" s="17">
        <v>865.6144</v>
      </c>
      <c r="G14" s="17">
        <v>80.17769</v>
      </c>
      <c r="H14" s="17">
        <v>408.505</v>
      </c>
      <c r="I14" s="17">
        <v>720.0434</v>
      </c>
      <c r="J14" s="17">
        <v>999.1516</v>
      </c>
      <c r="K14" s="17">
        <v>1253.752</v>
      </c>
      <c r="L14" s="17">
        <v>-392.73</v>
      </c>
      <c r="M14" s="17">
        <v>-79.5487</v>
      </c>
      <c r="N14" s="17">
        <v>212.7127</v>
      </c>
    </row>
    <row r="15">
      <c r="B15" s="15">
        <v>0.15</v>
      </c>
      <c r="C15" s="17">
        <v>-100.0</v>
      </c>
      <c r="D15" s="17">
        <v>229.0724</v>
      </c>
      <c r="E15" s="17">
        <v>548.2969</v>
      </c>
      <c r="F15" s="17">
        <v>857.3098</v>
      </c>
      <c r="G15" s="17">
        <v>69.04041</v>
      </c>
      <c r="H15" s="17">
        <v>394.4784</v>
      </c>
      <c r="I15" s="17">
        <v>703.2422</v>
      </c>
      <c r="J15" s="17">
        <v>979.6717</v>
      </c>
      <c r="K15" s="17">
        <v>1231.743</v>
      </c>
      <c r="L15" s="17">
        <v>-417.136</v>
      </c>
      <c r="M15" s="17">
        <v>-106.193</v>
      </c>
      <c r="N15" s="17">
        <v>183.9664</v>
      </c>
    </row>
    <row r="16">
      <c r="B16" s="15">
        <v>0.2</v>
      </c>
      <c r="C16" s="17">
        <v>-100.0</v>
      </c>
      <c r="D16" s="17">
        <v>226.2861</v>
      </c>
      <c r="E16" s="17">
        <v>542.8047</v>
      </c>
      <c r="F16" s="17">
        <v>849.0051</v>
      </c>
      <c r="G16" s="17">
        <v>57.90313</v>
      </c>
      <c r="H16" s="17">
        <v>380.4519</v>
      </c>
      <c r="I16" s="17">
        <v>686.441</v>
      </c>
      <c r="J16" s="17">
        <v>960.1918</v>
      </c>
      <c r="K16" s="17">
        <v>1209.734</v>
      </c>
      <c r="L16" s="17">
        <v>-441.543</v>
      </c>
      <c r="M16" s="17">
        <v>-132.836</v>
      </c>
      <c r="N16" s="17">
        <v>155.2201</v>
      </c>
    </row>
    <row r="17">
      <c r="B17" s="15">
        <v>0.25</v>
      </c>
      <c r="C17" s="17">
        <v>-100.0</v>
      </c>
      <c r="D17" s="17">
        <v>223.4997</v>
      </c>
      <c r="E17" s="17">
        <v>537.3125</v>
      </c>
      <c r="F17" s="17">
        <v>840.7004</v>
      </c>
      <c r="G17" s="17">
        <v>46.76585</v>
      </c>
      <c r="H17" s="17">
        <v>366.4253</v>
      </c>
      <c r="I17" s="17">
        <v>669.6398</v>
      </c>
      <c r="J17" s="17">
        <v>940.7119</v>
      </c>
      <c r="K17" s="17">
        <v>1187.725</v>
      </c>
      <c r="L17" s="17">
        <v>-465.95</v>
      </c>
      <c r="M17" s="17">
        <v>-159.48</v>
      </c>
      <c r="N17" s="17">
        <v>126.4737</v>
      </c>
    </row>
    <row r="18">
      <c r="B18" s="15">
        <v>0.3</v>
      </c>
      <c r="C18" s="17">
        <v>-100.0</v>
      </c>
      <c r="D18" s="17">
        <v>220.7134</v>
      </c>
      <c r="E18" s="17">
        <v>531.8203</v>
      </c>
      <c r="F18" s="17">
        <v>832.3958</v>
      </c>
      <c r="G18" s="17">
        <v>35.62857</v>
      </c>
      <c r="H18" s="17">
        <v>352.3988</v>
      </c>
      <c r="I18" s="17">
        <v>652.8386</v>
      </c>
      <c r="J18" s="17">
        <v>921.232</v>
      </c>
      <c r="K18" s="17">
        <v>1165.716</v>
      </c>
      <c r="L18" s="17">
        <v>-490.356</v>
      </c>
      <c r="M18" s="17">
        <v>-186.124</v>
      </c>
      <c r="N18" s="17">
        <v>97.72741</v>
      </c>
    </row>
    <row r="19">
      <c r="B19" s="15">
        <v>0.35</v>
      </c>
      <c r="C19" s="17">
        <v>-100.0</v>
      </c>
      <c r="D19" s="17">
        <v>217.927</v>
      </c>
      <c r="E19" s="17">
        <v>526.3281</v>
      </c>
      <c r="F19" s="17">
        <v>824.0911</v>
      </c>
      <c r="G19" s="17">
        <v>24.49129</v>
      </c>
      <c r="H19" s="17">
        <v>338.3722</v>
      </c>
      <c r="I19" s="17">
        <v>636.0373</v>
      </c>
      <c r="J19" s="17">
        <v>901.7521</v>
      </c>
      <c r="K19" s="17">
        <v>1143.708</v>
      </c>
      <c r="L19" s="17">
        <v>-514.763</v>
      </c>
      <c r="M19" s="17">
        <v>-212.768</v>
      </c>
      <c r="N19" s="17">
        <v>68.98108</v>
      </c>
    </row>
    <row r="20">
      <c r="B20" s="15">
        <v>0.4</v>
      </c>
      <c r="C20" s="17">
        <v>-100.0</v>
      </c>
      <c r="D20" s="17">
        <v>215.1406</v>
      </c>
      <c r="E20" s="17">
        <v>520.8359</v>
      </c>
      <c r="F20" s="17">
        <v>815.7864</v>
      </c>
      <c r="G20" s="17">
        <v>13.35401</v>
      </c>
      <c r="H20" s="17">
        <v>324.3457</v>
      </c>
      <c r="I20" s="17">
        <v>619.2361</v>
      </c>
      <c r="J20" s="17">
        <v>882.2723</v>
      </c>
      <c r="K20" s="17">
        <v>1121.699</v>
      </c>
      <c r="L20" s="17">
        <v>-539.169</v>
      </c>
      <c r="M20" s="17">
        <v>-239.412</v>
      </c>
      <c r="N20" s="17">
        <v>40.23475</v>
      </c>
    </row>
    <row r="21" ht="15.75" customHeight="1">
      <c r="B21" s="15">
        <v>0.45</v>
      </c>
      <c r="C21" s="17">
        <v>-100.0</v>
      </c>
      <c r="D21" s="17">
        <v>212.3543</v>
      </c>
      <c r="E21" s="17">
        <v>515.3437</v>
      </c>
      <c r="F21" s="17">
        <v>807.4817</v>
      </c>
      <c r="G21" s="17">
        <v>2.216733</v>
      </c>
      <c r="H21" s="17">
        <v>310.3191</v>
      </c>
      <c r="I21" s="17">
        <v>602.4349</v>
      </c>
      <c r="J21" s="17">
        <v>862.7924</v>
      </c>
      <c r="K21" s="17">
        <v>1099.69</v>
      </c>
      <c r="L21" s="17">
        <v>-563.576</v>
      </c>
      <c r="M21" s="17">
        <v>-266.056</v>
      </c>
      <c r="N21" s="17">
        <v>11.48841</v>
      </c>
    </row>
    <row r="22" ht="15.75" customHeight="1">
      <c r="B22" s="15">
        <v>0.5</v>
      </c>
      <c r="C22" s="17">
        <v>-100.0</v>
      </c>
      <c r="D22" s="17">
        <v>209.5679</v>
      </c>
      <c r="E22" s="17">
        <v>509.8515</v>
      </c>
      <c r="F22" s="17">
        <v>799.1771</v>
      </c>
      <c r="G22" s="17">
        <v>-8.92055</v>
      </c>
      <c r="H22" s="17">
        <v>296.2926</v>
      </c>
      <c r="I22" s="17">
        <v>585.6337</v>
      </c>
      <c r="J22" s="17">
        <v>843.3125</v>
      </c>
      <c r="K22" s="17">
        <v>1077.681</v>
      </c>
      <c r="L22" s="17">
        <v>-587.982</v>
      </c>
      <c r="M22" s="17">
        <v>-292.7</v>
      </c>
      <c r="N22" s="17">
        <v>-17.2579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8" t="s">
        <v>66</v>
      </c>
      <c r="B2" s="15">
        <v>-0.5</v>
      </c>
      <c r="C2" s="16">
        <v>-100.0</v>
      </c>
      <c r="D2" s="16">
        <v>238.436</v>
      </c>
      <c r="E2" s="16">
        <v>566.887</v>
      </c>
      <c r="F2" s="16">
        <v>885.5278</v>
      </c>
      <c r="G2" s="16">
        <v>107.0074</v>
      </c>
      <c r="H2" s="16">
        <v>442.407</v>
      </c>
      <c r="I2" s="16">
        <v>760.7506</v>
      </c>
      <c r="J2" s="16">
        <v>1046.432</v>
      </c>
      <c r="K2" s="16">
        <v>1307.243</v>
      </c>
      <c r="L2" s="16">
        <v>-333.353</v>
      </c>
      <c r="M2" s="16">
        <v>-14.676</v>
      </c>
      <c r="N2" s="16">
        <v>282.7477</v>
      </c>
      <c r="O2" s="17"/>
    </row>
    <row r="3" ht="15.75" customHeight="1">
      <c r="B3" s="15">
        <v>-0.45</v>
      </c>
      <c r="C3" s="18">
        <v>-100.0</v>
      </c>
      <c r="D3" s="16">
        <v>238.3355</v>
      </c>
      <c r="E3" s="16">
        <v>566.6757</v>
      </c>
      <c r="F3" s="16">
        <v>885.1974</v>
      </c>
      <c r="G3" s="16">
        <v>106.5519</v>
      </c>
      <c r="H3" s="16">
        <v>441.8221</v>
      </c>
      <c r="I3" s="17">
        <v>760.0401</v>
      </c>
      <c r="J3" s="17">
        <v>1045.6</v>
      </c>
      <c r="K3" s="18">
        <v>1306.296</v>
      </c>
      <c r="L3" s="18">
        <v>-334.409</v>
      </c>
      <c r="M3" s="18">
        <v>-15.8345</v>
      </c>
      <c r="N3" s="18">
        <v>281.4935</v>
      </c>
      <c r="O3" s="17"/>
    </row>
    <row r="4" ht="15.75" customHeight="1">
      <c r="A4" s="1"/>
      <c r="B4" s="15">
        <v>-0.4</v>
      </c>
      <c r="C4" s="18">
        <v>-100.0</v>
      </c>
      <c r="D4" s="16">
        <v>238.2351</v>
      </c>
      <c r="E4" s="16">
        <v>566.4643</v>
      </c>
      <c r="F4" s="16">
        <v>884.867</v>
      </c>
      <c r="G4" s="16">
        <v>106.0964</v>
      </c>
      <c r="H4" s="16">
        <v>441.2372</v>
      </c>
      <c r="I4" s="17">
        <v>759.3297</v>
      </c>
      <c r="J4" s="17">
        <v>1044.768</v>
      </c>
      <c r="K4" s="18">
        <v>1305.348</v>
      </c>
      <c r="L4" s="18">
        <v>-335.466</v>
      </c>
      <c r="M4" s="18">
        <v>-16.993</v>
      </c>
      <c r="N4" s="18">
        <v>280.2392</v>
      </c>
      <c r="O4" s="17"/>
    </row>
    <row r="5" ht="15.75" customHeight="1">
      <c r="A5" s="1"/>
      <c r="B5" s="15">
        <v>-0.35</v>
      </c>
      <c r="C5" s="18">
        <v>-100.0</v>
      </c>
      <c r="D5" s="16">
        <v>238.1346</v>
      </c>
      <c r="E5" s="16">
        <v>566.253</v>
      </c>
      <c r="F5" s="16">
        <v>884.5366</v>
      </c>
      <c r="G5" s="16">
        <v>105.6409</v>
      </c>
      <c r="H5" s="16">
        <v>440.6523</v>
      </c>
      <c r="I5" s="17">
        <v>758.6192</v>
      </c>
      <c r="J5" s="17">
        <v>1043.936</v>
      </c>
      <c r="K5" s="18">
        <v>1304.401</v>
      </c>
      <c r="L5" s="18">
        <v>-336.522</v>
      </c>
      <c r="M5" s="18">
        <v>-18.1515</v>
      </c>
      <c r="N5" s="18">
        <v>278.985</v>
      </c>
      <c r="O5" s="17"/>
    </row>
    <row r="6" ht="15.75" customHeight="1">
      <c r="A6" s="1"/>
      <c r="B6" s="15">
        <v>-0.3</v>
      </c>
      <c r="C6" s="18">
        <v>-100.0</v>
      </c>
      <c r="D6" s="16">
        <v>238.0342</v>
      </c>
      <c r="E6" s="16">
        <v>566.0416</v>
      </c>
      <c r="F6" s="16">
        <v>884.2062</v>
      </c>
      <c r="G6" s="16">
        <v>105.1854</v>
      </c>
      <c r="H6" s="16">
        <v>440.0674</v>
      </c>
      <c r="I6" s="17">
        <v>757.9087</v>
      </c>
      <c r="J6" s="17">
        <v>1043.104</v>
      </c>
      <c r="K6" s="18">
        <v>1303.454</v>
      </c>
      <c r="L6" s="18">
        <v>-337.579</v>
      </c>
      <c r="M6" s="18">
        <v>-19.31</v>
      </c>
      <c r="N6" s="18">
        <v>277.7308</v>
      </c>
      <c r="O6" s="17"/>
    </row>
    <row r="7" ht="15.75" customHeight="1">
      <c r="A7" s="1"/>
      <c r="B7" s="15">
        <v>-0.25</v>
      </c>
      <c r="C7" s="18">
        <v>-100.0</v>
      </c>
      <c r="D7" s="16">
        <v>237.9337</v>
      </c>
      <c r="E7" s="16">
        <v>565.8303</v>
      </c>
      <c r="F7" s="16">
        <v>883.8758</v>
      </c>
      <c r="G7" s="16">
        <v>104.7298</v>
      </c>
      <c r="H7" s="16">
        <v>439.4825</v>
      </c>
      <c r="I7" s="17">
        <v>757.1982</v>
      </c>
      <c r="J7" s="17">
        <v>1042.272</v>
      </c>
      <c r="K7" s="18">
        <v>1302.506</v>
      </c>
      <c r="L7" s="18">
        <v>-338.635</v>
      </c>
      <c r="M7" s="18">
        <v>-20.4685</v>
      </c>
      <c r="N7" s="18">
        <v>276.4765</v>
      </c>
      <c r="O7" s="17"/>
    </row>
    <row r="8" ht="15.75" customHeight="1">
      <c r="A8" s="1"/>
      <c r="B8" s="15">
        <v>-0.2</v>
      </c>
      <c r="C8" s="18">
        <v>-100.0</v>
      </c>
      <c r="D8" s="16">
        <v>237.8333</v>
      </c>
      <c r="E8" s="16">
        <v>565.6189</v>
      </c>
      <c r="F8" s="16">
        <v>883.5454</v>
      </c>
      <c r="G8" s="16">
        <v>104.2743</v>
      </c>
      <c r="H8" s="16">
        <v>438.8976</v>
      </c>
      <c r="I8" s="17">
        <v>756.4878</v>
      </c>
      <c r="J8" s="17">
        <v>1041.44</v>
      </c>
      <c r="K8" s="18">
        <v>1301.559</v>
      </c>
      <c r="L8" s="18">
        <v>-339.691</v>
      </c>
      <c r="M8" s="18">
        <v>-21.627</v>
      </c>
      <c r="N8" s="18">
        <v>275.2223</v>
      </c>
      <c r="O8" s="17"/>
    </row>
    <row r="9" ht="15.75" customHeight="1">
      <c r="B9" s="15">
        <v>-0.15</v>
      </c>
      <c r="C9" s="16">
        <v>-100.0</v>
      </c>
      <c r="D9" s="16">
        <v>237.7328</v>
      </c>
      <c r="E9" s="16">
        <v>565.4075</v>
      </c>
      <c r="F9" s="16">
        <v>883.215</v>
      </c>
      <c r="G9" s="16">
        <v>103.8188</v>
      </c>
      <c r="H9" s="16">
        <v>438.3127</v>
      </c>
      <c r="I9" s="16">
        <v>755.7773</v>
      </c>
      <c r="J9" s="16">
        <v>1040.608</v>
      </c>
      <c r="K9" s="16">
        <v>1300.612</v>
      </c>
      <c r="L9" s="16">
        <v>-340.748</v>
      </c>
      <c r="M9" s="16">
        <v>-22.7855</v>
      </c>
      <c r="N9" s="16">
        <v>273.9681</v>
      </c>
      <c r="O9" s="17"/>
    </row>
    <row r="10" ht="15.75" customHeight="1">
      <c r="A10" s="1"/>
      <c r="B10" s="15">
        <v>-0.1</v>
      </c>
      <c r="C10" s="18">
        <v>-100.0</v>
      </c>
      <c r="D10" s="16">
        <v>237.6324</v>
      </c>
      <c r="E10" s="16">
        <v>565.1962</v>
      </c>
      <c r="F10" s="16">
        <v>882.8846</v>
      </c>
      <c r="G10" s="16">
        <v>103.3633</v>
      </c>
      <c r="H10" s="16">
        <v>437.7278</v>
      </c>
      <c r="I10" s="17">
        <v>755.0668</v>
      </c>
      <c r="J10" s="17">
        <v>1039.776</v>
      </c>
      <c r="K10" s="18">
        <v>1299.664</v>
      </c>
      <c r="L10" s="18">
        <v>-341.804</v>
      </c>
      <c r="M10" s="18">
        <v>-23.944</v>
      </c>
      <c r="N10" s="18">
        <v>272.7139</v>
      </c>
      <c r="O10" s="17"/>
    </row>
    <row r="11" ht="15.75" customHeight="1">
      <c r="A11" s="1"/>
      <c r="B11" s="15">
        <v>-0.05</v>
      </c>
      <c r="C11" s="18">
        <v>-100.0</v>
      </c>
      <c r="D11" s="16">
        <v>237.5319</v>
      </c>
      <c r="E11" s="16">
        <v>564.9848</v>
      </c>
      <c r="F11" s="16">
        <v>882.5542</v>
      </c>
      <c r="G11" s="16">
        <v>102.9078</v>
      </c>
      <c r="H11" s="16">
        <v>437.143</v>
      </c>
      <c r="I11" s="17">
        <v>754.3564</v>
      </c>
      <c r="J11" s="17">
        <v>1038.944</v>
      </c>
      <c r="K11" s="18">
        <v>1298.717</v>
      </c>
      <c r="L11" s="18">
        <v>-342.86</v>
      </c>
      <c r="M11" s="18">
        <v>-25.1025</v>
      </c>
      <c r="N11" s="18">
        <v>271.4596</v>
      </c>
      <c r="O11" s="17"/>
    </row>
    <row r="12" ht="15.75" customHeight="1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  <c r="O12" s="17"/>
    </row>
    <row r="13" ht="15.75" customHeight="1">
      <c r="B13" s="15">
        <v>0.05</v>
      </c>
      <c r="C13" s="17">
        <v>-100.0</v>
      </c>
      <c r="D13" s="17">
        <v>237.331</v>
      </c>
      <c r="E13" s="17">
        <v>564.5621</v>
      </c>
      <c r="F13" s="17">
        <v>881.8934</v>
      </c>
      <c r="G13" s="17">
        <v>101.9967</v>
      </c>
      <c r="H13" s="17">
        <v>435.9732</v>
      </c>
      <c r="I13" s="17">
        <v>752.9354</v>
      </c>
      <c r="J13" s="17">
        <v>1037.279</v>
      </c>
      <c r="K13" s="17">
        <v>1296.822</v>
      </c>
      <c r="L13" s="17">
        <v>-344.973</v>
      </c>
      <c r="M13" s="17">
        <v>-27.4194</v>
      </c>
      <c r="N13" s="17">
        <v>268.9512</v>
      </c>
      <c r="O13" s="17"/>
    </row>
    <row r="14" ht="15.75" customHeight="1">
      <c r="B14" s="15">
        <v>0.1</v>
      </c>
      <c r="C14" s="17">
        <v>-100.0</v>
      </c>
      <c r="D14" s="17">
        <v>237.2306</v>
      </c>
      <c r="E14" s="17">
        <v>564.3508</v>
      </c>
      <c r="F14" s="17">
        <v>881.563</v>
      </c>
      <c r="G14" s="17">
        <v>101.5412</v>
      </c>
      <c r="H14" s="17">
        <v>435.3883</v>
      </c>
      <c r="I14" s="17">
        <v>752.2249</v>
      </c>
      <c r="J14" s="17">
        <v>1036.447</v>
      </c>
      <c r="K14" s="17">
        <v>1295.875</v>
      </c>
      <c r="L14" s="17">
        <v>-346.029</v>
      </c>
      <c r="M14" s="17">
        <v>-28.5779</v>
      </c>
      <c r="N14" s="17">
        <v>267.697</v>
      </c>
      <c r="O14" s="17"/>
    </row>
    <row r="15" ht="15.75" customHeight="1">
      <c r="B15" s="15">
        <v>0.15</v>
      </c>
      <c r="C15" s="17">
        <v>-100.0</v>
      </c>
      <c r="D15" s="17">
        <v>237.1302</v>
      </c>
      <c r="E15" s="17">
        <v>564.1394</v>
      </c>
      <c r="F15" s="17">
        <v>881.2326</v>
      </c>
      <c r="G15" s="17">
        <v>101.0857</v>
      </c>
      <c r="H15" s="17">
        <v>434.8034</v>
      </c>
      <c r="I15" s="17">
        <v>751.5145</v>
      </c>
      <c r="J15" s="17">
        <v>1035.615</v>
      </c>
      <c r="K15" s="17">
        <v>1294.927</v>
      </c>
      <c r="L15" s="17">
        <v>-347.086</v>
      </c>
      <c r="M15" s="17">
        <v>-29.7364</v>
      </c>
      <c r="N15" s="17">
        <v>266.4427</v>
      </c>
      <c r="O15" s="17"/>
    </row>
    <row r="16" ht="15.75" customHeight="1">
      <c r="B16" s="15">
        <v>0.2</v>
      </c>
      <c r="C16" s="17">
        <v>-100.0</v>
      </c>
      <c r="D16" s="17">
        <v>237.0297</v>
      </c>
      <c r="E16" s="17">
        <v>563.928</v>
      </c>
      <c r="F16" s="17">
        <v>880.9022</v>
      </c>
      <c r="G16" s="17">
        <v>100.6302</v>
      </c>
      <c r="H16" s="17">
        <v>434.2185</v>
      </c>
      <c r="I16" s="17">
        <v>750.804</v>
      </c>
      <c r="J16" s="17">
        <v>1034.783</v>
      </c>
      <c r="K16" s="17">
        <v>1293.98</v>
      </c>
      <c r="L16" s="17">
        <v>-348.142</v>
      </c>
      <c r="M16" s="17">
        <v>-30.8949</v>
      </c>
      <c r="N16" s="17">
        <v>265.1885</v>
      </c>
      <c r="O16" s="17"/>
    </row>
    <row r="17" ht="15.75" customHeight="1">
      <c r="B17" s="15">
        <v>0.25</v>
      </c>
      <c r="C17" s="17">
        <v>-100.0</v>
      </c>
      <c r="D17" s="17">
        <v>236.9293</v>
      </c>
      <c r="E17" s="17">
        <v>563.7167</v>
      </c>
      <c r="F17" s="17">
        <v>880.5718</v>
      </c>
      <c r="G17" s="17">
        <v>100.1747</v>
      </c>
      <c r="H17" s="17">
        <v>433.6336</v>
      </c>
      <c r="I17" s="17">
        <v>750.0935</v>
      </c>
      <c r="J17" s="17">
        <v>1033.951</v>
      </c>
      <c r="K17" s="17">
        <v>1293.033</v>
      </c>
      <c r="L17" s="17">
        <v>-349.198</v>
      </c>
      <c r="M17" s="17">
        <v>-32.0534</v>
      </c>
      <c r="N17" s="17">
        <v>263.9343</v>
      </c>
      <c r="O17" s="17"/>
    </row>
    <row r="18" ht="15.75" customHeight="1">
      <c r="B18" s="15">
        <v>0.3</v>
      </c>
      <c r="C18" s="17">
        <v>-100.0</v>
      </c>
      <c r="D18" s="17">
        <v>236.8288</v>
      </c>
      <c r="E18" s="17">
        <v>563.5053</v>
      </c>
      <c r="F18" s="17">
        <v>880.2414</v>
      </c>
      <c r="G18" s="17">
        <v>99.71913</v>
      </c>
      <c r="H18" s="17">
        <v>433.0487</v>
      </c>
      <c r="I18" s="17">
        <v>749.383</v>
      </c>
      <c r="J18" s="17">
        <v>1033.119</v>
      </c>
      <c r="K18" s="17">
        <v>1292.085</v>
      </c>
      <c r="L18" s="17">
        <v>-350.255</v>
      </c>
      <c r="M18" s="17">
        <v>-33.2119</v>
      </c>
      <c r="N18" s="17">
        <v>262.68</v>
      </c>
      <c r="O18" s="17"/>
    </row>
    <row r="19" ht="15.75" customHeight="1">
      <c r="B19" s="15">
        <v>0.35</v>
      </c>
      <c r="C19" s="17">
        <v>-100.0</v>
      </c>
      <c r="D19" s="17">
        <v>236.7284</v>
      </c>
      <c r="E19" s="17">
        <v>563.294</v>
      </c>
      <c r="F19" s="17">
        <v>879.9109</v>
      </c>
      <c r="G19" s="17">
        <v>99.26362</v>
      </c>
      <c r="H19" s="17">
        <v>432.4638</v>
      </c>
      <c r="I19" s="17">
        <v>748.6726</v>
      </c>
      <c r="J19" s="17">
        <v>1032.287</v>
      </c>
      <c r="K19" s="17">
        <v>1291.138</v>
      </c>
      <c r="L19" s="17">
        <v>-351.311</v>
      </c>
      <c r="M19" s="17">
        <v>-34.3704</v>
      </c>
      <c r="N19" s="17">
        <v>261.4258</v>
      </c>
      <c r="O19" s="17"/>
    </row>
    <row r="20" ht="15.75" customHeight="1">
      <c r="B20" s="15">
        <v>0.4</v>
      </c>
      <c r="C20" s="17">
        <v>-100.0</v>
      </c>
      <c r="D20" s="17">
        <v>236.6279</v>
      </c>
      <c r="E20" s="17">
        <v>563.0826</v>
      </c>
      <c r="F20" s="17">
        <v>879.5805</v>
      </c>
      <c r="G20" s="17">
        <v>98.8081</v>
      </c>
      <c r="H20" s="17">
        <v>431.8789</v>
      </c>
      <c r="I20" s="17">
        <v>747.9621</v>
      </c>
      <c r="J20" s="17">
        <v>1031.455</v>
      </c>
      <c r="K20" s="17">
        <v>1290.191</v>
      </c>
      <c r="L20" s="17">
        <v>-352.367</v>
      </c>
      <c r="M20" s="17">
        <v>-35.5289</v>
      </c>
      <c r="N20" s="17">
        <v>260.1716</v>
      </c>
      <c r="O20" s="17"/>
    </row>
    <row r="21" ht="15.75" customHeight="1">
      <c r="B21" s="15">
        <v>0.45</v>
      </c>
      <c r="C21" s="17">
        <v>-100.0</v>
      </c>
      <c r="D21" s="17">
        <v>236.5275</v>
      </c>
      <c r="E21" s="17">
        <v>562.8713</v>
      </c>
      <c r="F21" s="17">
        <v>879.2501</v>
      </c>
      <c r="G21" s="17">
        <v>98.35258</v>
      </c>
      <c r="H21" s="17">
        <v>431.294</v>
      </c>
      <c r="I21" s="17">
        <v>747.2516</v>
      </c>
      <c r="J21" s="17">
        <v>1030.623</v>
      </c>
      <c r="K21" s="17">
        <v>1289.243</v>
      </c>
      <c r="L21" s="17">
        <v>-353.424</v>
      </c>
      <c r="M21" s="17">
        <v>-36.6874</v>
      </c>
      <c r="N21" s="17">
        <v>258.9174</v>
      </c>
      <c r="O21" s="17"/>
    </row>
    <row r="22" ht="15.75" customHeight="1">
      <c r="B22" s="15">
        <v>0.5</v>
      </c>
      <c r="C22" s="17">
        <v>-100.0</v>
      </c>
      <c r="D22" s="17">
        <v>236.427</v>
      </c>
      <c r="E22" s="17">
        <v>562.6599</v>
      </c>
      <c r="F22" s="17">
        <v>878.9197</v>
      </c>
      <c r="G22" s="17">
        <v>97.89706</v>
      </c>
      <c r="H22" s="17">
        <v>430.7091</v>
      </c>
      <c r="I22" s="17">
        <v>746.5411</v>
      </c>
      <c r="J22" s="17">
        <v>1029.79</v>
      </c>
      <c r="K22" s="17">
        <v>1288.296</v>
      </c>
      <c r="L22" s="17">
        <v>-354.48</v>
      </c>
      <c r="M22" s="17">
        <v>-37.8459</v>
      </c>
      <c r="N22" s="17">
        <v>257.6631</v>
      </c>
      <c r="O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8.13"/>
  </cols>
  <sheetData>
    <row r="1" ht="12.75" customHeight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8" t="s">
        <v>67</v>
      </c>
      <c r="B2" s="21">
        <v>-0.5</v>
      </c>
      <c r="C2" s="22">
        <v>-100.0</v>
      </c>
      <c r="D2" s="22">
        <v>301.6843</v>
      </c>
      <c r="E2" s="22">
        <v>682.6073</v>
      </c>
      <c r="F2" s="22">
        <v>1052.876</v>
      </c>
      <c r="G2" s="22">
        <v>315.9965</v>
      </c>
      <c r="H2" s="22">
        <v>691.4524</v>
      </c>
      <c r="I2" s="22">
        <v>1047.142</v>
      </c>
      <c r="J2" s="22">
        <v>1366.408</v>
      </c>
      <c r="K2" s="22">
        <v>1657.931</v>
      </c>
      <c r="L2" s="22">
        <v>44.39107</v>
      </c>
      <c r="M2" s="22">
        <v>378.6253</v>
      </c>
      <c r="N2" s="22">
        <v>691.7825</v>
      </c>
    </row>
    <row r="3" ht="12.75" customHeight="1">
      <c r="A3" s="23"/>
      <c r="B3" s="21">
        <v>-0.45</v>
      </c>
      <c r="C3" s="24">
        <v>-100.0</v>
      </c>
      <c r="D3" s="22">
        <v>295.259</v>
      </c>
      <c r="E3" s="22">
        <v>670.8239</v>
      </c>
      <c r="F3" s="22">
        <v>1035.811</v>
      </c>
      <c r="G3" s="22">
        <v>294.6421</v>
      </c>
      <c r="H3" s="22">
        <v>665.963</v>
      </c>
      <c r="I3" s="25">
        <v>1017.792</v>
      </c>
      <c r="J3" s="25">
        <v>1333.578</v>
      </c>
      <c r="K3" s="24">
        <v>1621.915</v>
      </c>
      <c r="L3" s="24">
        <v>5.560301</v>
      </c>
      <c r="M3" s="24">
        <v>338.1367</v>
      </c>
      <c r="N3" s="24">
        <v>649.6248</v>
      </c>
    </row>
    <row r="4" ht="12.75" customHeight="1">
      <c r="A4" s="1"/>
      <c r="B4" s="21">
        <v>-0.4</v>
      </c>
      <c r="C4" s="24">
        <v>-100.0</v>
      </c>
      <c r="D4" s="22">
        <v>288.8337</v>
      </c>
      <c r="E4" s="22">
        <v>659.0405</v>
      </c>
      <c r="F4" s="22">
        <v>1018.746</v>
      </c>
      <c r="G4" s="22">
        <v>273.2877</v>
      </c>
      <c r="H4" s="22">
        <v>640.4735</v>
      </c>
      <c r="I4" s="25">
        <v>988.4428</v>
      </c>
      <c r="J4" s="25">
        <v>1300.749</v>
      </c>
      <c r="K4" s="24">
        <v>1585.899</v>
      </c>
      <c r="L4" s="24">
        <v>-33.2705</v>
      </c>
      <c r="M4" s="24">
        <v>297.6481</v>
      </c>
      <c r="N4" s="24">
        <v>607.4671</v>
      </c>
    </row>
    <row r="5" ht="12.75" customHeight="1">
      <c r="A5" s="1"/>
      <c r="B5" s="21">
        <v>-0.35</v>
      </c>
      <c r="C5" s="24">
        <v>-100.0</v>
      </c>
      <c r="D5" s="22">
        <v>282.4084</v>
      </c>
      <c r="E5" s="22">
        <v>647.2571</v>
      </c>
      <c r="F5" s="22">
        <v>1001.681</v>
      </c>
      <c r="G5" s="22">
        <v>251.9332</v>
      </c>
      <c r="H5" s="22">
        <v>614.9841</v>
      </c>
      <c r="I5" s="25">
        <v>959.0931</v>
      </c>
      <c r="J5" s="25">
        <v>1267.919</v>
      </c>
      <c r="K5" s="24">
        <v>1549.883</v>
      </c>
      <c r="L5" s="24">
        <v>-72.1012</v>
      </c>
      <c r="M5" s="24">
        <v>257.1594</v>
      </c>
      <c r="N5" s="24">
        <v>565.3094</v>
      </c>
    </row>
    <row r="6" ht="12.75" customHeight="1">
      <c r="A6" s="1"/>
      <c r="B6" s="21">
        <v>-0.3</v>
      </c>
      <c r="C6" s="24">
        <v>-100.0</v>
      </c>
      <c r="D6" s="22">
        <v>275.9832</v>
      </c>
      <c r="E6" s="22">
        <v>635.4737</v>
      </c>
      <c r="F6" s="22">
        <v>984.6153</v>
      </c>
      <c r="G6" s="22">
        <v>230.5788</v>
      </c>
      <c r="H6" s="22">
        <v>589.4947</v>
      </c>
      <c r="I6" s="25">
        <v>929.7435</v>
      </c>
      <c r="J6" s="25">
        <v>1235.089</v>
      </c>
      <c r="K6" s="24">
        <v>1513.867</v>
      </c>
      <c r="L6" s="24">
        <v>-110.932</v>
      </c>
      <c r="M6" s="24">
        <v>216.6708</v>
      </c>
      <c r="N6" s="24">
        <v>523.1516</v>
      </c>
    </row>
    <row r="7" ht="12.75" customHeight="1">
      <c r="A7" s="1"/>
      <c r="B7" s="21">
        <v>-0.25</v>
      </c>
      <c r="C7" s="24">
        <v>-100.0</v>
      </c>
      <c r="D7" s="22">
        <v>269.5579</v>
      </c>
      <c r="E7" s="22">
        <v>623.6904</v>
      </c>
      <c r="F7" s="22">
        <v>967.55</v>
      </c>
      <c r="G7" s="22">
        <v>209.2244</v>
      </c>
      <c r="H7" s="22">
        <v>564.0052</v>
      </c>
      <c r="I7" s="25">
        <v>900.3939</v>
      </c>
      <c r="J7" s="25">
        <v>1202.26</v>
      </c>
      <c r="K7" s="24">
        <v>1477.85</v>
      </c>
      <c r="L7" s="24">
        <v>-149.763</v>
      </c>
      <c r="M7" s="24">
        <v>176.1822</v>
      </c>
      <c r="N7" s="24">
        <v>480.9939</v>
      </c>
    </row>
    <row r="8" ht="12.75" customHeight="1">
      <c r="A8" s="1"/>
      <c r="B8" s="21">
        <v>-0.2</v>
      </c>
      <c r="C8" s="24">
        <v>-100.0</v>
      </c>
      <c r="D8" s="22">
        <v>263.1326</v>
      </c>
      <c r="E8" s="22">
        <v>611.907</v>
      </c>
      <c r="F8" s="22">
        <v>950.4848</v>
      </c>
      <c r="G8" s="22">
        <v>187.87</v>
      </c>
      <c r="H8" s="22">
        <v>538.5158</v>
      </c>
      <c r="I8" s="25">
        <v>871.0443</v>
      </c>
      <c r="J8" s="25">
        <v>1169.43</v>
      </c>
      <c r="K8" s="24">
        <v>1441.834</v>
      </c>
      <c r="L8" s="24">
        <v>-188.594</v>
      </c>
      <c r="M8" s="24">
        <v>135.6936</v>
      </c>
      <c r="N8" s="24">
        <v>438.8362</v>
      </c>
    </row>
    <row r="9" ht="12.75" customHeight="1">
      <c r="A9" s="23"/>
      <c r="B9" s="21">
        <v>-0.15</v>
      </c>
      <c r="C9" s="22">
        <v>-100.0</v>
      </c>
      <c r="D9" s="22">
        <v>256.7073</v>
      </c>
      <c r="E9" s="22">
        <v>600.1236</v>
      </c>
      <c r="F9" s="22">
        <v>933.4195</v>
      </c>
      <c r="G9" s="22">
        <v>166.5155</v>
      </c>
      <c r="H9" s="22">
        <v>513.0264</v>
      </c>
      <c r="I9" s="22">
        <v>841.6947</v>
      </c>
      <c r="J9" s="22">
        <v>1136.6</v>
      </c>
      <c r="K9" s="22">
        <v>1405.818</v>
      </c>
      <c r="L9" s="22">
        <v>-227.424</v>
      </c>
      <c r="M9" s="22">
        <v>95.20493</v>
      </c>
      <c r="N9" s="22">
        <v>396.6785</v>
      </c>
    </row>
    <row r="10" ht="12.75" customHeight="1">
      <c r="A10" s="1"/>
      <c r="B10" s="21">
        <v>-0.1</v>
      </c>
      <c r="C10" s="24">
        <v>-100.0</v>
      </c>
      <c r="D10" s="22">
        <v>250.282</v>
      </c>
      <c r="E10" s="22">
        <v>588.3402</v>
      </c>
      <c r="F10" s="22">
        <v>916.3543</v>
      </c>
      <c r="G10" s="22">
        <v>145.1611</v>
      </c>
      <c r="H10" s="22">
        <v>487.5369</v>
      </c>
      <c r="I10" s="25">
        <v>812.3451</v>
      </c>
      <c r="J10" s="25">
        <v>1103.771</v>
      </c>
      <c r="K10" s="24">
        <v>1369.802</v>
      </c>
      <c r="L10" s="24">
        <v>-266.255</v>
      </c>
      <c r="M10" s="24">
        <v>54.71631</v>
      </c>
      <c r="N10" s="24">
        <v>354.5208</v>
      </c>
    </row>
    <row r="11" ht="12.75" customHeight="1">
      <c r="A11" s="1"/>
      <c r="B11" s="21">
        <v>-0.05</v>
      </c>
      <c r="C11" s="24">
        <v>-100.0</v>
      </c>
      <c r="D11" s="22">
        <v>243.8568</v>
      </c>
      <c r="E11" s="22">
        <v>576.5569</v>
      </c>
      <c r="F11" s="22">
        <v>899.289</v>
      </c>
      <c r="G11" s="22">
        <v>123.8067</v>
      </c>
      <c r="H11" s="22">
        <v>462.0475</v>
      </c>
      <c r="I11" s="25">
        <v>782.9955</v>
      </c>
      <c r="J11" s="25">
        <v>1070.941</v>
      </c>
      <c r="K11" s="24">
        <v>1333.786</v>
      </c>
      <c r="L11" s="24">
        <v>-305.086</v>
      </c>
      <c r="M11" s="24">
        <v>14.22768</v>
      </c>
      <c r="N11" s="24">
        <v>312.3631</v>
      </c>
    </row>
    <row r="12" ht="12.75" customHeight="1">
      <c r="A12" s="1"/>
      <c r="B12" s="21">
        <v>0.0</v>
      </c>
      <c r="C12" s="25">
        <v>-100.0</v>
      </c>
      <c r="D12" s="22">
        <v>237.4315</v>
      </c>
      <c r="E12" s="22">
        <v>564.7735</v>
      </c>
      <c r="F12" s="22">
        <v>882.2238</v>
      </c>
      <c r="G12" s="22">
        <v>102.4522</v>
      </c>
      <c r="H12" s="22">
        <v>436.5581</v>
      </c>
      <c r="I12" s="25">
        <v>753.6459</v>
      </c>
      <c r="J12" s="25">
        <v>1038.111</v>
      </c>
      <c r="K12" s="25">
        <v>1297.77</v>
      </c>
      <c r="L12" s="25">
        <v>-343.917</v>
      </c>
      <c r="M12" s="25">
        <v>-26.2609</v>
      </c>
      <c r="N12" s="25">
        <v>270.2054</v>
      </c>
    </row>
    <row r="13" ht="12.75" customHeight="1">
      <c r="A13" s="1"/>
      <c r="B13" s="21">
        <v>0.05</v>
      </c>
      <c r="C13" s="25">
        <v>-100.0</v>
      </c>
      <c r="D13" s="25">
        <v>231.0062</v>
      </c>
      <c r="E13" s="25">
        <v>552.9901</v>
      </c>
      <c r="F13" s="25">
        <v>865.1585</v>
      </c>
      <c r="G13" s="25">
        <v>81.09782</v>
      </c>
      <c r="H13" s="25">
        <v>411.0686</v>
      </c>
      <c r="I13" s="25">
        <v>724.2963</v>
      </c>
      <c r="J13" s="25">
        <v>1005.282</v>
      </c>
      <c r="K13" s="25">
        <v>1261.753</v>
      </c>
      <c r="L13" s="25">
        <v>-382.747</v>
      </c>
      <c r="M13" s="25">
        <v>-66.7496</v>
      </c>
      <c r="N13" s="25">
        <v>228.0477</v>
      </c>
    </row>
    <row r="14" ht="12.75" customHeight="1">
      <c r="A14" s="1"/>
      <c r="B14" s="21">
        <v>0.1</v>
      </c>
      <c r="C14" s="25">
        <v>-100.0</v>
      </c>
      <c r="D14" s="22">
        <v>224.5809</v>
      </c>
      <c r="E14" s="22">
        <v>541.2067</v>
      </c>
      <c r="F14" s="22">
        <v>848.0933</v>
      </c>
      <c r="G14" s="22">
        <v>59.7434</v>
      </c>
      <c r="H14" s="22">
        <v>385.5792</v>
      </c>
      <c r="I14" s="25">
        <v>694.9467</v>
      </c>
      <c r="J14" s="25">
        <v>972.4521</v>
      </c>
      <c r="K14" s="25">
        <v>1225.737</v>
      </c>
      <c r="L14" s="25">
        <v>-421.578</v>
      </c>
      <c r="M14" s="25">
        <v>-107.238</v>
      </c>
      <c r="N14" s="25">
        <v>185.89</v>
      </c>
    </row>
    <row r="15" ht="12.75" customHeight="1">
      <c r="A15" s="1"/>
      <c r="B15" s="21">
        <v>0.15</v>
      </c>
      <c r="C15" s="25">
        <v>-100.0</v>
      </c>
      <c r="D15" s="22">
        <v>218.1557</v>
      </c>
      <c r="E15" s="22">
        <v>529.4233</v>
      </c>
      <c r="F15" s="22">
        <v>831.028</v>
      </c>
      <c r="G15" s="22">
        <v>38.38897</v>
      </c>
      <c r="H15" s="22">
        <v>360.0898</v>
      </c>
      <c r="I15" s="25">
        <v>665.5971</v>
      </c>
      <c r="J15" s="25">
        <v>939.6224</v>
      </c>
      <c r="K15" s="25">
        <v>1189.721</v>
      </c>
      <c r="L15" s="25">
        <v>-460.409</v>
      </c>
      <c r="M15" s="25">
        <v>-147.727</v>
      </c>
      <c r="N15" s="25">
        <v>143.7323</v>
      </c>
    </row>
    <row r="16" ht="12.75" customHeight="1">
      <c r="A16" s="1"/>
      <c r="B16" s="21">
        <v>0.2</v>
      </c>
      <c r="C16" s="25">
        <v>-100.0</v>
      </c>
      <c r="D16" s="25">
        <v>211.7304</v>
      </c>
      <c r="E16" s="25">
        <v>517.64</v>
      </c>
      <c r="F16" s="25">
        <v>813.9628</v>
      </c>
      <c r="G16" s="25">
        <v>17.03455</v>
      </c>
      <c r="H16" s="25">
        <v>334.6003</v>
      </c>
      <c r="I16" s="25">
        <v>636.2474</v>
      </c>
      <c r="J16" s="25">
        <v>906.7927</v>
      </c>
      <c r="K16" s="25">
        <v>1153.705</v>
      </c>
      <c r="L16" s="25">
        <v>-499.24</v>
      </c>
      <c r="M16" s="25">
        <v>-188.215</v>
      </c>
      <c r="N16" s="25">
        <v>101.5746</v>
      </c>
    </row>
    <row r="17" ht="12.75" customHeight="1">
      <c r="A17" s="1"/>
      <c r="B17" s="21">
        <v>0.25</v>
      </c>
      <c r="C17" s="25">
        <v>-100.0</v>
      </c>
      <c r="D17" s="22">
        <v>205.3051</v>
      </c>
      <c r="E17" s="22">
        <v>505.8566</v>
      </c>
      <c r="F17" s="22">
        <v>796.8975</v>
      </c>
      <c r="G17" s="22">
        <v>-4.31988</v>
      </c>
      <c r="H17" s="22">
        <v>309.1109</v>
      </c>
      <c r="I17" s="25">
        <v>606.8978</v>
      </c>
      <c r="J17" s="25">
        <v>873.9631</v>
      </c>
      <c r="K17" s="25">
        <v>1117.689</v>
      </c>
      <c r="L17" s="25">
        <v>-538.07</v>
      </c>
      <c r="M17" s="25">
        <v>-228.704</v>
      </c>
      <c r="N17" s="25">
        <v>59.41688</v>
      </c>
    </row>
    <row r="18" ht="12.75" customHeight="1">
      <c r="A18" s="1"/>
      <c r="B18" s="21">
        <v>0.3</v>
      </c>
      <c r="C18" s="25">
        <v>-100.0</v>
      </c>
      <c r="D18" s="25">
        <v>198.8798</v>
      </c>
      <c r="E18" s="25">
        <v>494.0732</v>
      </c>
      <c r="F18" s="25">
        <v>779.8323</v>
      </c>
      <c r="G18" s="25">
        <v>-25.6743</v>
      </c>
      <c r="H18" s="25">
        <v>283.6215</v>
      </c>
      <c r="I18" s="25">
        <v>577.5482</v>
      </c>
      <c r="J18" s="25">
        <v>841.1334</v>
      </c>
      <c r="K18" s="25">
        <v>1081.672</v>
      </c>
      <c r="L18" s="25">
        <v>-576.901</v>
      </c>
      <c r="M18" s="25">
        <v>-269.193</v>
      </c>
      <c r="N18" s="25">
        <v>17.25917</v>
      </c>
    </row>
    <row r="19" ht="12.75" customHeight="1">
      <c r="A19" s="1"/>
      <c r="B19" s="21">
        <v>0.35</v>
      </c>
      <c r="C19" s="25">
        <v>-100.0</v>
      </c>
      <c r="D19" s="22">
        <v>192.4545</v>
      </c>
      <c r="E19" s="22">
        <v>482.2898</v>
      </c>
      <c r="F19" s="22">
        <v>762.767</v>
      </c>
      <c r="G19" s="22">
        <v>-47.0287</v>
      </c>
      <c r="H19" s="22">
        <v>258.132</v>
      </c>
      <c r="I19" s="25">
        <v>548.1986</v>
      </c>
      <c r="J19" s="25">
        <v>808.3037</v>
      </c>
      <c r="K19" s="25">
        <v>1045.656</v>
      </c>
      <c r="L19" s="25">
        <v>-615.732</v>
      </c>
      <c r="M19" s="25">
        <v>-309.681</v>
      </c>
      <c r="N19" s="25">
        <v>-24.8985</v>
      </c>
    </row>
    <row r="20" ht="12.75" customHeight="1">
      <c r="A20" s="1"/>
      <c r="B20" s="21">
        <v>0.4</v>
      </c>
      <c r="C20" s="25">
        <v>-100.0</v>
      </c>
      <c r="D20" s="25">
        <v>186.0293</v>
      </c>
      <c r="E20" s="25">
        <v>470.5064</v>
      </c>
      <c r="F20" s="25">
        <v>745.7018</v>
      </c>
      <c r="G20" s="25">
        <v>-68.3832</v>
      </c>
      <c r="H20" s="25">
        <v>232.6426</v>
      </c>
      <c r="I20" s="25">
        <v>518.849</v>
      </c>
      <c r="J20" s="25">
        <v>775.4741</v>
      </c>
      <c r="K20" s="25">
        <v>1009.64</v>
      </c>
      <c r="L20" s="25">
        <v>-654.563</v>
      </c>
      <c r="M20" s="25">
        <v>-350.17</v>
      </c>
      <c r="N20" s="25">
        <v>-67.0562</v>
      </c>
    </row>
    <row r="21" ht="12.75" customHeight="1">
      <c r="A21" s="1"/>
      <c r="B21" s="21">
        <v>0.45</v>
      </c>
      <c r="C21" s="25">
        <v>-100.0</v>
      </c>
      <c r="D21" s="25">
        <v>179.604</v>
      </c>
      <c r="E21" s="25">
        <v>458.7231</v>
      </c>
      <c r="F21" s="25">
        <v>728.6365</v>
      </c>
      <c r="G21" s="25">
        <v>-89.7376</v>
      </c>
      <c r="H21" s="25">
        <v>207.1531</v>
      </c>
      <c r="I21" s="25">
        <v>489.4994</v>
      </c>
      <c r="J21" s="25">
        <v>742.6444</v>
      </c>
      <c r="K21" s="25">
        <v>973.624</v>
      </c>
      <c r="L21" s="25">
        <v>-693.394</v>
      </c>
      <c r="M21" s="25">
        <v>-390.659</v>
      </c>
      <c r="N21" s="25">
        <v>-109.214</v>
      </c>
    </row>
    <row r="22" ht="12.75" customHeight="1">
      <c r="A22" s="1"/>
      <c r="B22" s="21">
        <v>0.5</v>
      </c>
      <c r="C22" s="25">
        <v>-100.0</v>
      </c>
      <c r="D22" s="22">
        <v>173.1787</v>
      </c>
      <c r="E22" s="22">
        <v>446.9397</v>
      </c>
      <c r="F22" s="22">
        <v>711.5713</v>
      </c>
      <c r="G22" s="22">
        <v>-111.092</v>
      </c>
      <c r="H22" s="22">
        <v>181.6637</v>
      </c>
      <c r="I22" s="22">
        <v>460.1498</v>
      </c>
      <c r="J22" s="22">
        <v>709.8147</v>
      </c>
      <c r="K22" s="22">
        <v>937.6078</v>
      </c>
      <c r="L22" s="22">
        <v>-732.224</v>
      </c>
      <c r="M22" s="22">
        <v>-431.147</v>
      </c>
      <c r="N22" s="22">
        <v>-151.372</v>
      </c>
    </row>
    <row r="23" ht="12.75" customHeight="1">
      <c r="A23" s="1"/>
      <c r="B23" s="1"/>
      <c r="C23" s="6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</row>
    <row r="24" ht="12.75" customHeight="1">
      <c r="A24" s="1"/>
      <c r="B24" s="1"/>
      <c r="C24" s="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ht="12.75" customHeight="1">
      <c r="A25" s="1"/>
      <c r="B25" s="1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2.75" customHeight="1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ht="12.75" customHeight="1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8" t="s">
        <v>68</v>
      </c>
      <c r="B2" s="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15.75" customHeight="1">
      <c r="B3" s="15">
        <v>-0.5</v>
      </c>
      <c r="C3" s="17">
        <v>-50.0</v>
      </c>
      <c r="D3" s="16">
        <v>287.7172</v>
      </c>
      <c r="E3" s="16">
        <v>615.5102</v>
      </c>
      <c r="F3" s="16">
        <v>933.0099</v>
      </c>
      <c r="G3" s="16">
        <v>676.6696</v>
      </c>
      <c r="H3" s="16">
        <v>1000.309</v>
      </c>
      <c r="I3" s="17">
        <v>1308.26</v>
      </c>
      <c r="J3" s="17">
        <v>1584.748</v>
      </c>
      <c r="K3" s="17">
        <v>1837.439</v>
      </c>
      <c r="L3" s="17">
        <v>1125.252</v>
      </c>
      <c r="M3" s="17">
        <v>1415.316</v>
      </c>
      <c r="N3" s="17">
        <v>1687.497</v>
      </c>
    </row>
    <row r="4" ht="15.75" customHeight="1">
      <c r="A4" s="1"/>
      <c r="B4" s="15">
        <v>-0.45</v>
      </c>
      <c r="C4" s="17">
        <v>-55.0</v>
      </c>
      <c r="D4" s="16">
        <v>282.6886</v>
      </c>
      <c r="E4" s="16">
        <v>610.4365</v>
      </c>
      <c r="F4" s="16">
        <v>927.9313</v>
      </c>
      <c r="G4" s="16">
        <v>619.2479</v>
      </c>
      <c r="H4" s="16">
        <v>943.9338</v>
      </c>
      <c r="I4" s="17">
        <v>1252.798</v>
      </c>
      <c r="J4" s="17">
        <v>1530.084</v>
      </c>
      <c r="K4" s="17">
        <v>1783.472</v>
      </c>
      <c r="L4" s="17">
        <v>978.3352</v>
      </c>
      <c r="M4" s="17">
        <v>1271.158</v>
      </c>
      <c r="N4" s="17">
        <v>1545.768</v>
      </c>
    </row>
    <row r="5" ht="15.75" customHeight="1">
      <c r="A5" s="1"/>
      <c r="B5" s="15">
        <v>-0.4</v>
      </c>
      <c r="C5" s="17">
        <v>-60.0</v>
      </c>
      <c r="D5" s="16">
        <v>277.6601</v>
      </c>
      <c r="E5" s="16">
        <v>605.3629</v>
      </c>
      <c r="F5" s="16">
        <v>922.8526</v>
      </c>
      <c r="G5" s="16">
        <v>561.8262</v>
      </c>
      <c r="H5" s="16">
        <v>887.5587</v>
      </c>
      <c r="I5" s="17">
        <v>1197.337</v>
      </c>
      <c r="J5" s="17">
        <v>1475.421</v>
      </c>
      <c r="K5" s="17">
        <v>1729.505</v>
      </c>
      <c r="L5" s="17">
        <v>831.4184</v>
      </c>
      <c r="M5" s="17">
        <v>1127.001</v>
      </c>
      <c r="N5" s="17">
        <v>1404.038</v>
      </c>
    </row>
    <row r="6" ht="15.75" customHeight="1">
      <c r="A6" s="1"/>
      <c r="B6" s="15">
        <v>-0.35</v>
      </c>
      <c r="C6" s="17">
        <v>-65.0</v>
      </c>
      <c r="D6" s="16">
        <v>272.6315</v>
      </c>
      <c r="E6" s="16">
        <v>600.2892</v>
      </c>
      <c r="F6" s="16">
        <v>917.774</v>
      </c>
      <c r="G6" s="16">
        <v>504.4044</v>
      </c>
      <c r="H6" s="16">
        <v>831.1836</v>
      </c>
      <c r="I6" s="17">
        <v>1141.876</v>
      </c>
      <c r="J6" s="17">
        <v>1420.757</v>
      </c>
      <c r="K6" s="17">
        <v>1675.538</v>
      </c>
      <c r="L6" s="17">
        <v>684.5015</v>
      </c>
      <c r="M6" s="17">
        <v>982.843</v>
      </c>
      <c r="N6" s="17">
        <v>1262.309</v>
      </c>
    </row>
    <row r="7" ht="15.75" customHeight="1">
      <c r="A7" s="1"/>
      <c r="B7" s="15">
        <v>-0.3</v>
      </c>
      <c r="C7" s="16">
        <v>-70.0</v>
      </c>
      <c r="D7" s="16">
        <v>267.6029</v>
      </c>
      <c r="E7" s="16">
        <v>595.2155</v>
      </c>
      <c r="F7" s="16">
        <v>912.6954</v>
      </c>
      <c r="G7" s="16">
        <v>446.9827</v>
      </c>
      <c r="H7" s="16">
        <v>774.8085</v>
      </c>
      <c r="I7" s="17">
        <v>1086.414</v>
      </c>
      <c r="J7" s="17">
        <v>1366.093</v>
      </c>
      <c r="K7" s="16">
        <v>1621.571</v>
      </c>
      <c r="L7" s="16">
        <v>537.5846</v>
      </c>
      <c r="M7" s="16">
        <v>838.6853</v>
      </c>
      <c r="N7" s="16">
        <v>1120.58</v>
      </c>
    </row>
    <row r="8" ht="15.75" customHeight="1">
      <c r="A8" s="1"/>
      <c r="B8" s="15">
        <v>-0.25</v>
      </c>
      <c r="C8" s="16">
        <v>-75.0</v>
      </c>
      <c r="D8" s="16">
        <v>262.5743</v>
      </c>
      <c r="E8" s="16">
        <v>590.1418</v>
      </c>
      <c r="F8" s="16">
        <v>907.6168</v>
      </c>
      <c r="G8" s="16">
        <v>389.5609</v>
      </c>
      <c r="H8" s="16">
        <v>718.4335</v>
      </c>
      <c r="I8" s="17">
        <v>1030.953</v>
      </c>
      <c r="J8" s="17">
        <v>1311.43</v>
      </c>
      <c r="K8" s="16">
        <v>1567.604</v>
      </c>
      <c r="L8" s="16">
        <v>390.6677</v>
      </c>
      <c r="M8" s="16">
        <v>694.5276</v>
      </c>
      <c r="N8" s="16">
        <v>978.8511</v>
      </c>
    </row>
    <row r="9" ht="15.75" customHeight="1">
      <c r="B9" s="15">
        <v>-0.2</v>
      </c>
      <c r="C9" s="16">
        <v>-80.0</v>
      </c>
      <c r="D9" s="16">
        <v>257.5458</v>
      </c>
      <c r="E9" s="16">
        <v>585.0682</v>
      </c>
      <c r="F9" s="16">
        <v>902.5382</v>
      </c>
      <c r="G9" s="16">
        <v>332.1392</v>
      </c>
      <c r="H9" s="16">
        <v>662.0584</v>
      </c>
      <c r="I9" s="16">
        <v>975.4915</v>
      </c>
      <c r="J9" s="16">
        <v>1256.766</v>
      </c>
      <c r="K9" s="16">
        <v>1513.637</v>
      </c>
      <c r="L9" s="16">
        <v>243.7509</v>
      </c>
      <c r="M9" s="16">
        <v>550.3699</v>
      </c>
      <c r="N9" s="16">
        <v>837.1219</v>
      </c>
    </row>
    <row r="10" ht="15.75" customHeight="1">
      <c r="A10" s="1"/>
      <c r="B10" s="15">
        <v>-0.15</v>
      </c>
      <c r="C10" s="16">
        <v>-85.0</v>
      </c>
      <c r="D10" s="16">
        <v>252.5172</v>
      </c>
      <c r="E10" s="16">
        <v>579.9945</v>
      </c>
      <c r="F10" s="16">
        <v>897.4596</v>
      </c>
      <c r="G10" s="16">
        <v>274.7175</v>
      </c>
      <c r="H10" s="16">
        <v>605.6833</v>
      </c>
      <c r="I10" s="17">
        <v>920.0301</v>
      </c>
      <c r="J10" s="17">
        <v>1202.102</v>
      </c>
      <c r="K10" s="17">
        <v>1459.67</v>
      </c>
      <c r="L10" s="16">
        <v>96.83399</v>
      </c>
      <c r="M10" s="16">
        <v>406.2122</v>
      </c>
      <c r="N10" s="16">
        <v>695.3928</v>
      </c>
    </row>
    <row r="11" ht="15.75" customHeight="1">
      <c r="A11" s="1"/>
      <c r="B11" s="15">
        <v>-0.1</v>
      </c>
      <c r="C11" s="16">
        <v>-90.0</v>
      </c>
      <c r="D11" s="16">
        <v>247.4886</v>
      </c>
      <c r="E11" s="16">
        <v>574.9208</v>
      </c>
      <c r="F11" s="16">
        <v>892.381</v>
      </c>
      <c r="G11" s="16">
        <v>217.2957</v>
      </c>
      <c r="H11" s="16">
        <v>549.3082</v>
      </c>
      <c r="I11" s="17">
        <v>864.5687</v>
      </c>
      <c r="J11" s="17">
        <v>1147.439</v>
      </c>
      <c r="K11" s="17">
        <v>1405.703</v>
      </c>
      <c r="L11" s="16">
        <v>-50.0829</v>
      </c>
      <c r="M11" s="16">
        <v>262.0545</v>
      </c>
      <c r="N11" s="16">
        <v>553.6637</v>
      </c>
    </row>
    <row r="12" ht="15.75" customHeight="1">
      <c r="B12" s="15">
        <v>-0.05</v>
      </c>
      <c r="C12" s="17">
        <v>-95.0</v>
      </c>
      <c r="D12" s="17">
        <v>242.4601</v>
      </c>
      <c r="E12" s="17">
        <v>569.8471</v>
      </c>
      <c r="F12" s="17">
        <v>887.3024</v>
      </c>
      <c r="G12" s="17">
        <v>159.874</v>
      </c>
      <c r="H12" s="17">
        <v>492.9331</v>
      </c>
      <c r="I12" s="17">
        <v>809.1073</v>
      </c>
      <c r="J12" s="17">
        <v>1092.775</v>
      </c>
      <c r="K12" s="17">
        <v>1351.736</v>
      </c>
      <c r="L12" s="17">
        <v>-197.0</v>
      </c>
      <c r="M12" s="17">
        <v>117.8968</v>
      </c>
      <c r="N12" s="17">
        <v>411.9345</v>
      </c>
    </row>
    <row r="13" ht="15.75" customHeight="1">
      <c r="B13" s="15">
        <v>0.0</v>
      </c>
      <c r="C13" s="17">
        <v>-100.0</v>
      </c>
      <c r="D13" s="17">
        <v>237.4315</v>
      </c>
      <c r="E13" s="17">
        <v>564.7735</v>
      </c>
      <c r="F13" s="17">
        <v>882.2238</v>
      </c>
      <c r="G13" s="17">
        <v>102.4522</v>
      </c>
      <c r="H13" s="17">
        <v>436.5581</v>
      </c>
      <c r="I13" s="17">
        <v>753.6459</v>
      </c>
      <c r="J13" s="17">
        <v>1038.111</v>
      </c>
      <c r="K13" s="17">
        <v>1297.77</v>
      </c>
      <c r="L13" s="17">
        <v>-343.917</v>
      </c>
      <c r="M13" s="17">
        <v>-26.2609</v>
      </c>
      <c r="N13" s="17">
        <v>270.2054</v>
      </c>
    </row>
    <row r="14" ht="15.75" customHeight="1">
      <c r="B14" s="15">
        <v>0.05</v>
      </c>
      <c r="C14" s="17">
        <v>-105.0</v>
      </c>
      <c r="D14" s="17">
        <v>232.4029</v>
      </c>
      <c r="E14" s="17">
        <v>559.6998</v>
      </c>
      <c r="F14" s="17">
        <v>877.1451</v>
      </c>
      <c r="G14" s="17">
        <v>45.03051</v>
      </c>
      <c r="H14" s="17">
        <v>380.183</v>
      </c>
      <c r="I14" s="17">
        <v>698.1845</v>
      </c>
      <c r="J14" s="17">
        <v>983.4478</v>
      </c>
      <c r="K14" s="17">
        <v>1243.803</v>
      </c>
      <c r="L14" s="17">
        <v>-490.834</v>
      </c>
      <c r="M14" s="17">
        <v>-170.419</v>
      </c>
      <c r="N14" s="17">
        <v>128.4763</v>
      </c>
    </row>
    <row r="15" ht="15.75" customHeight="1">
      <c r="B15" s="15">
        <v>0.1</v>
      </c>
      <c r="C15" s="17">
        <v>-110.0</v>
      </c>
      <c r="D15" s="17">
        <v>227.3743</v>
      </c>
      <c r="E15" s="17">
        <v>554.6261</v>
      </c>
      <c r="F15" s="17">
        <v>872.0665</v>
      </c>
      <c r="G15" s="17">
        <v>-12.3912</v>
      </c>
      <c r="H15" s="17">
        <v>323.8079</v>
      </c>
      <c r="I15" s="17">
        <v>642.7231</v>
      </c>
      <c r="J15" s="17">
        <v>928.7841</v>
      </c>
      <c r="K15" s="17">
        <v>1189.836</v>
      </c>
      <c r="L15" s="17">
        <v>-637.75</v>
      </c>
      <c r="M15" s="17">
        <v>-314.576</v>
      </c>
      <c r="N15" s="17">
        <v>-13.2529</v>
      </c>
    </row>
    <row r="16" ht="15.75" customHeight="1">
      <c r="B16" s="15">
        <v>0.15</v>
      </c>
      <c r="C16" s="17">
        <v>-115.0</v>
      </c>
      <c r="D16" s="17">
        <v>222.3458</v>
      </c>
      <c r="E16" s="17">
        <v>549.5525</v>
      </c>
      <c r="F16" s="17">
        <v>866.9879</v>
      </c>
      <c r="G16" s="17">
        <v>-69.813</v>
      </c>
      <c r="H16" s="17">
        <v>267.4328</v>
      </c>
      <c r="I16" s="17">
        <v>587.2617</v>
      </c>
      <c r="J16" s="17">
        <v>874.1205</v>
      </c>
      <c r="K16" s="17">
        <v>1135.869</v>
      </c>
      <c r="L16" s="17">
        <v>-784.667</v>
      </c>
      <c r="M16" s="17">
        <v>-458.734</v>
      </c>
      <c r="N16" s="17">
        <v>-154.982</v>
      </c>
    </row>
    <row r="17" ht="15.75" customHeight="1">
      <c r="B17" s="15">
        <v>0.2</v>
      </c>
      <c r="C17" s="17">
        <v>-120.0</v>
      </c>
      <c r="D17" s="17">
        <v>217.3172</v>
      </c>
      <c r="E17" s="17">
        <v>544.4788</v>
      </c>
      <c r="F17" s="17">
        <v>861.9093</v>
      </c>
      <c r="G17" s="17">
        <v>-127.235</v>
      </c>
      <c r="H17" s="17">
        <v>211.0578</v>
      </c>
      <c r="I17" s="17">
        <v>531.8003</v>
      </c>
      <c r="J17" s="17">
        <v>819.4568</v>
      </c>
      <c r="K17" s="17">
        <v>1081.902</v>
      </c>
      <c r="L17" s="17">
        <v>-931.584</v>
      </c>
      <c r="M17" s="17">
        <v>-602.892</v>
      </c>
      <c r="N17" s="17">
        <v>-296.711</v>
      </c>
    </row>
    <row r="18" ht="15.75" customHeight="1">
      <c r="B18" s="15">
        <v>0.25</v>
      </c>
      <c r="C18" s="17">
        <v>-125.0</v>
      </c>
      <c r="D18" s="17">
        <v>212.2886</v>
      </c>
      <c r="E18" s="17">
        <v>539.4051</v>
      </c>
      <c r="F18" s="17">
        <v>856.8307</v>
      </c>
      <c r="G18" s="17">
        <v>-184.656</v>
      </c>
      <c r="H18" s="17">
        <v>154.6827</v>
      </c>
      <c r="I18" s="17">
        <v>476.3389</v>
      </c>
      <c r="J18" s="17">
        <v>764.7932</v>
      </c>
      <c r="K18" s="17">
        <v>1027.935</v>
      </c>
      <c r="L18" s="17">
        <v>-1078.5</v>
      </c>
      <c r="M18" s="17">
        <v>-747.049</v>
      </c>
      <c r="N18" s="17">
        <v>-438.44</v>
      </c>
    </row>
    <row r="19" ht="15.75" customHeight="1">
      <c r="B19" s="15">
        <v>0.3</v>
      </c>
      <c r="C19" s="17">
        <v>-130.0</v>
      </c>
      <c r="D19" s="17">
        <v>207.2601</v>
      </c>
      <c r="E19" s="17">
        <v>534.3314</v>
      </c>
      <c r="F19" s="17">
        <v>851.7521</v>
      </c>
      <c r="G19" s="17">
        <v>-242.078</v>
      </c>
      <c r="H19" s="17">
        <v>98.3076</v>
      </c>
      <c r="I19" s="17">
        <v>420.8775</v>
      </c>
      <c r="J19" s="17">
        <v>710.1296</v>
      </c>
      <c r="K19" s="17">
        <v>973.9678</v>
      </c>
      <c r="L19" s="17">
        <v>-1225.42</v>
      </c>
      <c r="M19" s="17">
        <v>-891.207</v>
      </c>
      <c r="N19" s="17">
        <v>-580.169</v>
      </c>
    </row>
    <row r="20" ht="15.75" customHeight="1">
      <c r="B20" s="15">
        <v>0.35</v>
      </c>
      <c r="C20" s="17">
        <v>-135.0</v>
      </c>
      <c r="D20" s="17">
        <v>202.2315</v>
      </c>
      <c r="E20" s="17">
        <v>529.2578</v>
      </c>
      <c r="F20" s="17">
        <v>846.6735</v>
      </c>
      <c r="G20" s="17">
        <v>-299.5</v>
      </c>
      <c r="H20" s="17">
        <v>41.93253</v>
      </c>
      <c r="I20" s="17">
        <v>365.4161</v>
      </c>
      <c r="J20" s="17">
        <v>655.4659</v>
      </c>
      <c r="K20" s="17">
        <v>920.0008</v>
      </c>
      <c r="L20" s="17">
        <v>-1372.33</v>
      </c>
      <c r="M20" s="17">
        <v>-1035.36</v>
      </c>
      <c r="N20" s="17">
        <v>-721.899</v>
      </c>
    </row>
    <row r="21" ht="15.75" customHeight="1">
      <c r="B21" s="15">
        <v>0.4</v>
      </c>
      <c r="C21" s="17">
        <v>-140.0</v>
      </c>
      <c r="D21" s="17">
        <v>197.2029</v>
      </c>
      <c r="E21" s="17">
        <v>524.1841</v>
      </c>
      <c r="F21" s="17">
        <v>841.5949</v>
      </c>
      <c r="G21" s="17">
        <v>-356.922</v>
      </c>
      <c r="H21" s="17">
        <v>-14.4426</v>
      </c>
      <c r="I21" s="17">
        <v>309.9547</v>
      </c>
      <c r="J21" s="17">
        <v>600.8023</v>
      </c>
      <c r="K21" s="17">
        <v>866.0338</v>
      </c>
      <c r="L21" s="17">
        <v>-1519.25</v>
      </c>
      <c r="M21" s="17">
        <v>-1179.52</v>
      </c>
      <c r="N21" s="17">
        <v>-863.628</v>
      </c>
    </row>
    <row r="22" ht="15.75" customHeight="1">
      <c r="B22" s="15">
        <v>0.45</v>
      </c>
      <c r="C22" s="17">
        <v>-145.0</v>
      </c>
      <c r="D22" s="17">
        <v>192.1743</v>
      </c>
      <c r="E22" s="17">
        <v>519.1104</v>
      </c>
      <c r="F22" s="17">
        <v>836.5163</v>
      </c>
      <c r="G22" s="17">
        <v>-414.343</v>
      </c>
      <c r="H22" s="17">
        <v>-70.8176</v>
      </c>
      <c r="I22" s="17">
        <v>254.4933</v>
      </c>
      <c r="J22" s="17">
        <v>546.1386</v>
      </c>
      <c r="K22" s="17">
        <v>812.0669</v>
      </c>
      <c r="L22" s="17">
        <v>-1666.17</v>
      </c>
      <c r="M22" s="17">
        <v>-1323.68</v>
      </c>
      <c r="N22" s="17">
        <v>-1005.36</v>
      </c>
    </row>
    <row r="23" ht="15.75" customHeight="1">
      <c r="B23" s="15">
        <v>0.5</v>
      </c>
      <c r="C23" s="17">
        <v>-150.0</v>
      </c>
      <c r="D23" s="17">
        <v>187.1458</v>
      </c>
      <c r="E23" s="17">
        <v>514.0367</v>
      </c>
      <c r="F23" s="17">
        <v>831.4377</v>
      </c>
      <c r="G23" s="17">
        <v>-471.765</v>
      </c>
      <c r="H23" s="17">
        <v>-127.193</v>
      </c>
      <c r="I23" s="17">
        <v>199.0319</v>
      </c>
      <c r="J23" s="17">
        <v>491.475</v>
      </c>
      <c r="K23" s="17">
        <v>758.0999</v>
      </c>
      <c r="L23" s="17">
        <v>-1813.09</v>
      </c>
      <c r="M23" s="17">
        <v>-1467.84</v>
      </c>
      <c r="N23" s="17">
        <v>-1147.09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8" t="s">
        <v>69</v>
      </c>
      <c r="B2" s="15">
        <v>-0.5</v>
      </c>
      <c r="C2" s="16">
        <v>-100.0</v>
      </c>
      <c r="D2" s="16">
        <v>241.5594</v>
      </c>
      <c r="E2" s="16">
        <v>569.5884</v>
      </c>
      <c r="F2" s="16">
        <v>887.6868</v>
      </c>
      <c r="G2" s="16">
        <v>108.3178</v>
      </c>
      <c r="H2" s="16">
        <v>442.8676</v>
      </c>
      <c r="I2" s="16">
        <v>760.1742</v>
      </c>
      <c r="J2" s="16">
        <v>1044.834</v>
      </c>
      <c r="K2" s="16">
        <v>1304.606</v>
      </c>
      <c r="L2" s="16">
        <v>-336.979</v>
      </c>
      <c r="M2" s="16">
        <v>-19.258</v>
      </c>
      <c r="N2" s="16">
        <v>277.2645</v>
      </c>
      <c r="O2" s="26"/>
    </row>
    <row r="3">
      <c r="B3" s="15">
        <v>-0.45</v>
      </c>
      <c r="C3" s="17">
        <v>-100.0</v>
      </c>
      <c r="D3" s="16">
        <v>241.1466</v>
      </c>
      <c r="E3" s="16">
        <v>569.1069</v>
      </c>
      <c r="F3" s="16">
        <v>887.1405</v>
      </c>
      <c r="G3" s="16">
        <v>107.7313</v>
      </c>
      <c r="H3" s="16">
        <v>442.2367</v>
      </c>
      <c r="I3" s="17">
        <v>759.5214</v>
      </c>
      <c r="J3" s="17">
        <v>1044.162</v>
      </c>
      <c r="K3" s="17">
        <v>1303.922</v>
      </c>
      <c r="L3" s="17">
        <v>-337.673</v>
      </c>
      <c r="M3" s="17">
        <v>-19.9583</v>
      </c>
      <c r="N3" s="17">
        <v>276.5586</v>
      </c>
      <c r="O3" s="26"/>
    </row>
    <row r="4">
      <c r="A4" s="1"/>
      <c r="B4" s="15">
        <v>-0.4</v>
      </c>
      <c r="C4" s="17">
        <v>-100.0</v>
      </c>
      <c r="D4" s="16">
        <v>240.7338</v>
      </c>
      <c r="E4" s="16">
        <v>568.6254</v>
      </c>
      <c r="F4" s="16">
        <v>886.5942</v>
      </c>
      <c r="G4" s="16">
        <v>107.1447</v>
      </c>
      <c r="H4" s="16">
        <v>441.6057</v>
      </c>
      <c r="I4" s="17">
        <v>758.8685</v>
      </c>
      <c r="J4" s="17">
        <v>1043.489</v>
      </c>
      <c r="K4" s="17">
        <v>1303.239</v>
      </c>
      <c r="L4" s="17">
        <v>-338.366</v>
      </c>
      <c r="M4" s="17">
        <v>-20.6586</v>
      </c>
      <c r="N4" s="17">
        <v>275.8527</v>
      </c>
      <c r="O4" s="26"/>
    </row>
    <row r="5">
      <c r="A5" s="1"/>
      <c r="B5" s="15">
        <v>-0.35</v>
      </c>
      <c r="C5" s="17">
        <v>-100.0</v>
      </c>
      <c r="D5" s="16">
        <v>240.321</v>
      </c>
      <c r="E5" s="16">
        <v>568.1439</v>
      </c>
      <c r="F5" s="16">
        <v>886.0479</v>
      </c>
      <c r="G5" s="16">
        <v>106.5582</v>
      </c>
      <c r="H5" s="16">
        <v>440.9747</v>
      </c>
      <c r="I5" s="17">
        <v>758.2157</v>
      </c>
      <c r="J5" s="17">
        <v>1042.817</v>
      </c>
      <c r="K5" s="17">
        <v>1302.555</v>
      </c>
      <c r="L5" s="17">
        <v>-339.06</v>
      </c>
      <c r="M5" s="17">
        <v>-21.3589</v>
      </c>
      <c r="N5" s="17">
        <v>275.1467</v>
      </c>
      <c r="O5" s="26"/>
    </row>
    <row r="6">
      <c r="A6" s="1"/>
      <c r="B6" s="15">
        <v>-0.3</v>
      </c>
      <c r="C6" s="17">
        <v>-100.0</v>
      </c>
      <c r="D6" s="16">
        <v>239.9083</v>
      </c>
      <c r="E6" s="16">
        <v>567.6624</v>
      </c>
      <c r="F6" s="16">
        <v>885.5016</v>
      </c>
      <c r="G6" s="16">
        <v>105.9716</v>
      </c>
      <c r="H6" s="16">
        <v>440.3438</v>
      </c>
      <c r="I6" s="17">
        <v>757.5629</v>
      </c>
      <c r="J6" s="17">
        <v>1042.145</v>
      </c>
      <c r="K6" s="17">
        <v>1301.871</v>
      </c>
      <c r="L6" s="17">
        <v>-339.754</v>
      </c>
      <c r="M6" s="17">
        <v>-22.0592</v>
      </c>
      <c r="N6" s="17">
        <v>274.4408</v>
      </c>
      <c r="O6" s="26"/>
    </row>
    <row r="7">
      <c r="A7" s="1"/>
      <c r="B7" s="15">
        <v>-0.25</v>
      </c>
      <c r="C7" s="17">
        <v>-100.0</v>
      </c>
      <c r="D7" s="16">
        <v>239.4955</v>
      </c>
      <c r="E7" s="16">
        <v>567.1809</v>
      </c>
      <c r="F7" s="16">
        <v>884.9553</v>
      </c>
      <c r="G7" s="16">
        <v>105.385</v>
      </c>
      <c r="H7" s="16">
        <v>439.7128</v>
      </c>
      <c r="I7" s="17">
        <v>756.91</v>
      </c>
      <c r="J7" s="17">
        <v>1041.473</v>
      </c>
      <c r="K7" s="17">
        <v>1301.188</v>
      </c>
      <c r="L7" s="17">
        <v>-340.448</v>
      </c>
      <c r="M7" s="17">
        <v>-22.7595</v>
      </c>
      <c r="N7" s="17">
        <v>273.7349</v>
      </c>
      <c r="O7" s="26"/>
    </row>
    <row r="8">
      <c r="A8" s="1"/>
      <c r="B8" s="15">
        <v>-0.2</v>
      </c>
      <c r="C8" s="17">
        <v>-100.0</v>
      </c>
      <c r="D8" s="16">
        <v>239.0827</v>
      </c>
      <c r="E8" s="16">
        <v>566.6994</v>
      </c>
      <c r="F8" s="16">
        <v>884.409</v>
      </c>
      <c r="G8" s="16">
        <v>104.7985</v>
      </c>
      <c r="H8" s="16">
        <v>439.0819</v>
      </c>
      <c r="I8" s="17">
        <v>756.2572</v>
      </c>
      <c r="J8" s="17">
        <v>1040.8</v>
      </c>
      <c r="K8" s="17">
        <v>1300.504</v>
      </c>
      <c r="L8" s="17">
        <v>-341.142</v>
      </c>
      <c r="M8" s="17">
        <v>-23.4598</v>
      </c>
      <c r="N8" s="17">
        <v>273.029</v>
      </c>
      <c r="O8" s="26"/>
    </row>
    <row r="9">
      <c r="B9" s="15">
        <v>-0.15</v>
      </c>
      <c r="C9" s="16">
        <v>-100.0</v>
      </c>
      <c r="D9" s="16">
        <v>238.6699</v>
      </c>
      <c r="E9" s="16">
        <v>566.218</v>
      </c>
      <c r="F9" s="16">
        <v>883.8627</v>
      </c>
      <c r="G9" s="16">
        <v>104.2119</v>
      </c>
      <c r="H9" s="16">
        <v>438.4509</v>
      </c>
      <c r="I9" s="16">
        <v>755.6044</v>
      </c>
      <c r="J9" s="16">
        <v>1040.128</v>
      </c>
      <c r="K9" s="16">
        <v>1299.821</v>
      </c>
      <c r="L9" s="16">
        <v>-341.835</v>
      </c>
      <c r="M9" s="16">
        <v>-24.1601</v>
      </c>
      <c r="N9" s="16">
        <v>272.3231</v>
      </c>
      <c r="O9" s="26"/>
    </row>
    <row r="10">
      <c r="A10" s="1"/>
      <c r="B10" s="15">
        <v>-0.1</v>
      </c>
      <c r="C10" s="17">
        <v>-100.0</v>
      </c>
      <c r="D10" s="16">
        <v>238.2571</v>
      </c>
      <c r="E10" s="16">
        <v>565.7365</v>
      </c>
      <c r="F10" s="16">
        <v>883.3164</v>
      </c>
      <c r="G10" s="16">
        <v>103.6254</v>
      </c>
      <c r="H10" s="16">
        <v>437.82</v>
      </c>
      <c r="I10" s="17">
        <v>754.9515</v>
      </c>
      <c r="J10" s="17">
        <v>1039.456</v>
      </c>
      <c r="K10" s="17">
        <v>1299.137</v>
      </c>
      <c r="L10" s="17">
        <v>-342.529</v>
      </c>
      <c r="M10" s="17">
        <v>-24.8604</v>
      </c>
      <c r="N10" s="17">
        <v>271.6172</v>
      </c>
      <c r="O10" s="26"/>
    </row>
    <row r="11">
      <c r="A11" s="1"/>
      <c r="B11" s="15">
        <v>-0.05</v>
      </c>
      <c r="C11" s="17">
        <v>-100.0</v>
      </c>
      <c r="D11" s="16">
        <v>237.8443</v>
      </c>
      <c r="E11" s="16">
        <v>565.255</v>
      </c>
      <c r="F11" s="16">
        <v>882.7701</v>
      </c>
      <c r="G11" s="16">
        <v>103.0388</v>
      </c>
      <c r="H11" s="16">
        <v>437.189</v>
      </c>
      <c r="I11" s="17">
        <v>754.2987</v>
      </c>
      <c r="J11" s="17">
        <v>1038.784</v>
      </c>
      <c r="K11" s="17">
        <v>1298.453</v>
      </c>
      <c r="L11" s="17">
        <v>-343.223</v>
      </c>
      <c r="M11" s="17">
        <v>-25.5607</v>
      </c>
      <c r="N11" s="17">
        <v>270.9113</v>
      </c>
      <c r="O11" s="26"/>
    </row>
    <row r="12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  <c r="O12" s="26"/>
    </row>
    <row r="13">
      <c r="B13" s="15">
        <v>0.05</v>
      </c>
      <c r="C13" s="17">
        <v>-100.0</v>
      </c>
      <c r="D13" s="17">
        <v>237.0187</v>
      </c>
      <c r="E13" s="17">
        <v>564.292</v>
      </c>
      <c r="F13" s="17">
        <v>881.6775</v>
      </c>
      <c r="G13" s="17">
        <v>101.8657</v>
      </c>
      <c r="H13" s="17">
        <v>435.9271</v>
      </c>
      <c r="I13" s="17">
        <v>752.993</v>
      </c>
      <c r="J13" s="17">
        <v>1037.439</v>
      </c>
      <c r="K13" s="17">
        <v>1297.086</v>
      </c>
      <c r="L13" s="17">
        <v>-344.61</v>
      </c>
      <c r="M13" s="17">
        <v>-26.9612</v>
      </c>
      <c r="N13" s="17">
        <v>269.4995</v>
      </c>
      <c r="O13" s="26"/>
    </row>
    <row r="14">
      <c r="B14" s="15">
        <v>0.1</v>
      </c>
      <c r="C14" s="17">
        <v>-100.0</v>
      </c>
      <c r="D14" s="17">
        <v>236.6059</v>
      </c>
      <c r="E14" s="17">
        <v>563.8105</v>
      </c>
      <c r="F14" s="17">
        <v>881.1312</v>
      </c>
      <c r="G14" s="17">
        <v>101.2791</v>
      </c>
      <c r="H14" s="17">
        <v>435.2962</v>
      </c>
      <c r="I14" s="17">
        <v>752.3402</v>
      </c>
      <c r="J14" s="17">
        <v>1036.767</v>
      </c>
      <c r="K14" s="17">
        <v>1296.402</v>
      </c>
      <c r="L14" s="17">
        <v>-345.304</v>
      </c>
      <c r="M14" s="17">
        <v>-27.6615</v>
      </c>
      <c r="N14" s="17">
        <v>268.7936</v>
      </c>
      <c r="O14" s="26"/>
    </row>
    <row r="15">
      <c r="B15" s="15">
        <v>0.15</v>
      </c>
      <c r="C15" s="17">
        <v>-100.0</v>
      </c>
      <c r="D15" s="17">
        <v>236.1931</v>
      </c>
      <c r="E15" s="17">
        <v>563.329</v>
      </c>
      <c r="F15" s="17">
        <v>880.5849</v>
      </c>
      <c r="G15" s="17">
        <v>100.6926</v>
      </c>
      <c r="H15" s="17">
        <v>434.6652</v>
      </c>
      <c r="I15" s="17">
        <v>751.6874</v>
      </c>
      <c r="J15" s="17">
        <v>1036.095</v>
      </c>
      <c r="K15" s="17">
        <v>1295.719</v>
      </c>
      <c r="L15" s="17">
        <v>-345.998</v>
      </c>
      <c r="M15" s="17">
        <v>-28.3618</v>
      </c>
      <c r="N15" s="17">
        <v>268.0877</v>
      </c>
      <c r="O15" s="26"/>
    </row>
    <row r="16">
      <c r="B16" s="15">
        <v>0.2</v>
      </c>
      <c r="C16" s="17">
        <v>-100.0</v>
      </c>
      <c r="D16" s="17">
        <v>235.7803</v>
      </c>
      <c r="E16" s="17">
        <v>562.8475</v>
      </c>
      <c r="F16" s="17">
        <v>880.0386</v>
      </c>
      <c r="G16" s="17">
        <v>100.106</v>
      </c>
      <c r="H16" s="17">
        <v>434.0342</v>
      </c>
      <c r="I16" s="17">
        <v>751.0346</v>
      </c>
      <c r="J16" s="17">
        <v>1035.422</v>
      </c>
      <c r="K16" s="17">
        <v>1295.035</v>
      </c>
      <c r="L16" s="17">
        <v>-346.692</v>
      </c>
      <c r="M16" s="17">
        <v>-29.0621</v>
      </c>
      <c r="N16" s="17">
        <v>267.3818</v>
      </c>
      <c r="O16" s="26"/>
    </row>
    <row r="17">
      <c r="B17" s="15">
        <v>0.25</v>
      </c>
      <c r="C17" s="17">
        <v>-100.0</v>
      </c>
      <c r="D17" s="17">
        <v>235.3675</v>
      </c>
      <c r="E17" s="17">
        <v>562.366</v>
      </c>
      <c r="F17" s="17">
        <v>879.4923</v>
      </c>
      <c r="G17" s="17">
        <v>99.51945</v>
      </c>
      <c r="H17" s="17">
        <v>433.4033</v>
      </c>
      <c r="I17" s="17">
        <v>750.3817</v>
      </c>
      <c r="J17" s="17">
        <v>1034.75</v>
      </c>
      <c r="K17" s="17">
        <v>1294.351</v>
      </c>
      <c r="L17" s="17">
        <v>-347.386</v>
      </c>
      <c r="M17" s="17">
        <v>-29.7624</v>
      </c>
      <c r="N17" s="17">
        <v>266.6759</v>
      </c>
      <c r="O17" s="26"/>
    </row>
    <row r="18">
      <c r="B18" s="15">
        <v>0.3</v>
      </c>
      <c r="C18" s="17">
        <v>-100.0</v>
      </c>
      <c r="D18" s="17">
        <v>234.9547</v>
      </c>
      <c r="E18" s="17">
        <v>561.8845</v>
      </c>
      <c r="F18" s="17">
        <v>878.946</v>
      </c>
      <c r="G18" s="17">
        <v>98.93289</v>
      </c>
      <c r="H18" s="17">
        <v>432.7723</v>
      </c>
      <c r="I18" s="17">
        <v>749.7289</v>
      </c>
      <c r="J18" s="17">
        <v>1034.078</v>
      </c>
      <c r="K18" s="17">
        <v>1293.668</v>
      </c>
      <c r="L18" s="17">
        <v>-348.079</v>
      </c>
      <c r="M18" s="17">
        <v>-30.4627</v>
      </c>
      <c r="N18" s="17">
        <v>265.97</v>
      </c>
      <c r="O18" s="26"/>
    </row>
    <row r="19">
      <c r="B19" s="15">
        <v>0.35</v>
      </c>
      <c r="C19" s="17">
        <v>-100.0</v>
      </c>
      <c r="D19" s="17">
        <v>234.5419</v>
      </c>
      <c r="E19" s="17">
        <v>561.403</v>
      </c>
      <c r="F19" s="17">
        <v>878.3997</v>
      </c>
      <c r="G19" s="17">
        <v>98.34633</v>
      </c>
      <c r="H19" s="17">
        <v>432.1414</v>
      </c>
      <c r="I19" s="17">
        <v>749.0761</v>
      </c>
      <c r="J19" s="17">
        <v>1033.406</v>
      </c>
      <c r="K19" s="17">
        <v>1292.984</v>
      </c>
      <c r="L19" s="17">
        <v>-348.773</v>
      </c>
      <c r="M19" s="17">
        <v>-31.163</v>
      </c>
      <c r="N19" s="17">
        <v>265.2641</v>
      </c>
      <c r="O19" s="26"/>
    </row>
    <row r="20">
      <c r="B20" s="15">
        <v>0.4</v>
      </c>
      <c r="C20" s="17">
        <v>-100.0</v>
      </c>
      <c r="D20" s="17">
        <v>234.1291</v>
      </c>
      <c r="E20" s="17">
        <v>560.9215</v>
      </c>
      <c r="F20" s="17">
        <v>877.8534</v>
      </c>
      <c r="G20" s="17">
        <v>97.75978</v>
      </c>
      <c r="H20" s="17">
        <v>431.5104</v>
      </c>
      <c r="I20" s="17">
        <v>748.4232</v>
      </c>
      <c r="J20" s="17">
        <v>1032.733</v>
      </c>
      <c r="K20" s="17">
        <v>1292.3</v>
      </c>
      <c r="L20" s="17">
        <v>-349.467</v>
      </c>
      <c r="M20" s="17">
        <v>-31.8633</v>
      </c>
      <c r="N20" s="17">
        <v>264.5582</v>
      </c>
      <c r="O20" s="26"/>
    </row>
    <row r="21" ht="15.75" customHeight="1">
      <c r="B21" s="15">
        <v>0.45</v>
      </c>
      <c r="C21" s="17">
        <v>-100.0</v>
      </c>
      <c r="D21" s="17">
        <v>233.7163</v>
      </c>
      <c r="E21" s="17">
        <v>560.44</v>
      </c>
      <c r="F21" s="17">
        <v>877.3071</v>
      </c>
      <c r="G21" s="17">
        <v>97.17322</v>
      </c>
      <c r="H21" s="17">
        <v>430.8795</v>
      </c>
      <c r="I21" s="17">
        <v>747.7704</v>
      </c>
      <c r="J21" s="17">
        <v>1032.061</v>
      </c>
      <c r="K21" s="17">
        <v>1291.617</v>
      </c>
      <c r="L21" s="17">
        <v>-350.161</v>
      </c>
      <c r="M21" s="17">
        <v>-32.5636</v>
      </c>
      <c r="N21" s="17">
        <v>263.8523</v>
      </c>
      <c r="O21" s="26"/>
    </row>
    <row r="22" ht="15.75" customHeight="1">
      <c r="B22" s="15">
        <v>0.5</v>
      </c>
      <c r="C22" s="17">
        <v>-100.0</v>
      </c>
      <c r="D22" s="17">
        <v>233.3036</v>
      </c>
      <c r="E22" s="17">
        <v>559.9585</v>
      </c>
      <c r="F22" s="17">
        <v>876.7608</v>
      </c>
      <c r="G22" s="17">
        <v>96.58666</v>
      </c>
      <c r="H22" s="17">
        <v>430.2485</v>
      </c>
      <c r="I22" s="17">
        <v>747.1176</v>
      </c>
      <c r="J22" s="17">
        <v>1031.389</v>
      </c>
      <c r="K22" s="17">
        <v>1290.933</v>
      </c>
      <c r="L22" s="17">
        <v>-350.854</v>
      </c>
      <c r="M22" s="17">
        <v>-33.2639</v>
      </c>
      <c r="N22" s="17">
        <v>263.1464</v>
      </c>
      <c r="O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8" t="s">
        <v>70</v>
      </c>
      <c r="B2" s="15">
        <v>-0.5</v>
      </c>
      <c r="C2" s="16">
        <v>-100.0</v>
      </c>
      <c r="D2" s="16">
        <v>261.7847</v>
      </c>
      <c r="E2" s="16">
        <v>588.373</v>
      </c>
      <c r="F2" s="16">
        <v>907.9249</v>
      </c>
      <c r="G2" s="16">
        <v>126.009</v>
      </c>
      <c r="H2" s="16">
        <v>465.0189</v>
      </c>
      <c r="I2" s="16">
        <v>782.2086</v>
      </c>
      <c r="J2" s="16">
        <v>1066.988</v>
      </c>
      <c r="K2" s="16">
        <v>1326.496</v>
      </c>
      <c r="L2" s="16">
        <v>-315.132</v>
      </c>
      <c r="M2" s="16">
        <v>5.57933</v>
      </c>
      <c r="N2" s="16">
        <v>302.5621</v>
      </c>
    </row>
    <row r="3">
      <c r="B3" s="15">
        <v>-0.45</v>
      </c>
      <c r="C3" s="18">
        <v>-100.0</v>
      </c>
      <c r="D3" s="16">
        <v>259.3493</v>
      </c>
      <c r="E3" s="16">
        <v>586.013</v>
      </c>
      <c r="F3" s="16">
        <v>905.3548</v>
      </c>
      <c r="G3" s="16">
        <v>123.6533</v>
      </c>
      <c r="H3" s="16">
        <v>462.1728</v>
      </c>
      <c r="I3" s="17">
        <v>779.3523</v>
      </c>
      <c r="J3" s="17">
        <v>1064.101</v>
      </c>
      <c r="K3" s="18">
        <v>1323.624</v>
      </c>
      <c r="L3" s="18">
        <v>-318.011</v>
      </c>
      <c r="M3" s="18">
        <v>2.395302</v>
      </c>
      <c r="N3" s="18">
        <v>299.3264</v>
      </c>
    </row>
    <row r="4">
      <c r="A4" s="1"/>
      <c r="B4" s="15">
        <v>-0.4</v>
      </c>
      <c r="C4" s="18">
        <v>-100.0</v>
      </c>
      <c r="D4" s="16">
        <v>256.914</v>
      </c>
      <c r="E4" s="16">
        <v>583.6531</v>
      </c>
      <c r="F4" s="16">
        <v>902.7846</v>
      </c>
      <c r="G4" s="16">
        <v>121.2977</v>
      </c>
      <c r="H4" s="16">
        <v>459.3267</v>
      </c>
      <c r="I4" s="17">
        <v>776.4961</v>
      </c>
      <c r="J4" s="17">
        <v>1061.213</v>
      </c>
      <c r="K4" s="18">
        <v>1320.751</v>
      </c>
      <c r="L4" s="18">
        <v>-320.889</v>
      </c>
      <c r="M4" s="18">
        <v>-0.78873</v>
      </c>
      <c r="N4" s="18">
        <v>296.0907</v>
      </c>
    </row>
    <row r="5">
      <c r="A5" s="1"/>
      <c r="B5" s="15">
        <v>-0.35</v>
      </c>
      <c r="C5" s="18">
        <v>-100.0</v>
      </c>
      <c r="D5" s="16">
        <v>254.4787</v>
      </c>
      <c r="E5" s="16">
        <v>581.2931</v>
      </c>
      <c r="F5" s="16">
        <v>900.2145</v>
      </c>
      <c r="G5" s="16">
        <v>118.942</v>
      </c>
      <c r="H5" s="16">
        <v>456.4806</v>
      </c>
      <c r="I5" s="17">
        <v>773.6398</v>
      </c>
      <c r="J5" s="17">
        <v>1058.325</v>
      </c>
      <c r="K5" s="18">
        <v>1317.878</v>
      </c>
      <c r="L5" s="18">
        <v>-323.768</v>
      </c>
      <c r="M5" s="18">
        <v>-3.97275</v>
      </c>
      <c r="N5" s="18">
        <v>292.8551</v>
      </c>
    </row>
    <row r="6">
      <c r="A6" s="1"/>
      <c r="B6" s="15">
        <v>-0.3</v>
      </c>
      <c r="C6" s="18">
        <v>-100.0</v>
      </c>
      <c r="D6" s="16">
        <v>252.0434</v>
      </c>
      <c r="E6" s="16">
        <v>578.9332</v>
      </c>
      <c r="F6" s="16">
        <v>897.6444</v>
      </c>
      <c r="G6" s="16">
        <v>116.5863</v>
      </c>
      <c r="H6" s="16">
        <v>453.6346</v>
      </c>
      <c r="I6" s="17">
        <v>770.7835</v>
      </c>
      <c r="J6" s="17">
        <v>1055.438</v>
      </c>
      <c r="K6" s="18">
        <v>1315.006</v>
      </c>
      <c r="L6" s="18">
        <v>-326.646</v>
      </c>
      <c r="M6" s="18">
        <v>-7.15678</v>
      </c>
      <c r="N6" s="18">
        <v>289.6194</v>
      </c>
    </row>
    <row r="7">
      <c r="A7" s="1"/>
      <c r="B7" s="15">
        <v>-0.25</v>
      </c>
      <c r="C7" s="18">
        <v>-100.0</v>
      </c>
      <c r="D7" s="16">
        <v>249.6081</v>
      </c>
      <c r="E7" s="16">
        <v>576.5732</v>
      </c>
      <c r="F7" s="16">
        <v>895.0743</v>
      </c>
      <c r="G7" s="16">
        <v>114.2306</v>
      </c>
      <c r="H7" s="16">
        <v>450.7885</v>
      </c>
      <c r="I7" s="17">
        <v>767.9272</v>
      </c>
      <c r="J7" s="17">
        <v>1052.55</v>
      </c>
      <c r="K7" s="18">
        <v>1312.133</v>
      </c>
      <c r="L7" s="18">
        <v>-329.524</v>
      </c>
      <c r="M7" s="18">
        <v>-10.3408</v>
      </c>
      <c r="N7" s="18">
        <v>286.3837</v>
      </c>
    </row>
    <row r="8">
      <c r="A8" s="1"/>
      <c r="B8" s="15">
        <v>-0.2</v>
      </c>
      <c r="C8" s="18">
        <v>-100.0</v>
      </c>
      <c r="D8" s="16">
        <v>247.1728</v>
      </c>
      <c r="E8" s="16">
        <v>574.2133</v>
      </c>
      <c r="F8" s="16">
        <v>892.5042</v>
      </c>
      <c r="G8" s="16">
        <v>111.875</v>
      </c>
      <c r="H8" s="16">
        <v>447.9424</v>
      </c>
      <c r="I8" s="17">
        <v>765.071</v>
      </c>
      <c r="J8" s="17">
        <v>1049.662</v>
      </c>
      <c r="K8" s="18">
        <v>1309.26</v>
      </c>
      <c r="L8" s="18">
        <v>-332.403</v>
      </c>
      <c r="M8" s="18">
        <v>-13.5248</v>
      </c>
      <c r="N8" s="18">
        <v>283.1481</v>
      </c>
    </row>
    <row r="9">
      <c r="B9" s="15">
        <v>-0.15</v>
      </c>
      <c r="C9" s="16">
        <v>-100.0</v>
      </c>
      <c r="D9" s="16">
        <v>244.7374</v>
      </c>
      <c r="E9" s="16">
        <v>571.8533</v>
      </c>
      <c r="F9" s="16">
        <v>889.9341</v>
      </c>
      <c r="G9" s="16">
        <v>109.5193</v>
      </c>
      <c r="H9" s="16">
        <v>445.0963</v>
      </c>
      <c r="I9" s="16">
        <v>762.2147</v>
      </c>
      <c r="J9" s="16">
        <v>1046.775</v>
      </c>
      <c r="K9" s="16">
        <v>1306.388</v>
      </c>
      <c r="L9" s="16">
        <v>-335.281</v>
      </c>
      <c r="M9" s="16">
        <v>-16.7089</v>
      </c>
      <c r="N9" s="16">
        <v>279.9124</v>
      </c>
    </row>
    <row r="10">
      <c r="A10" s="1"/>
      <c r="B10" s="15">
        <v>-0.1</v>
      </c>
      <c r="C10" s="18">
        <v>-100.0</v>
      </c>
      <c r="D10" s="16">
        <v>242.3021</v>
      </c>
      <c r="E10" s="16">
        <v>569.4934</v>
      </c>
      <c r="F10" s="16">
        <v>887.364</v>
      </c>
      <c r="G10" s="16">
        <v>107.1636</v>
      </c>
      <c r="H10" s="16">
        <v>442.2502</v>
      </c>
      <c r="I10" s="17">
        <v>759.3584</v>
      </c>
      <c r="J10" s="17">
        <v>1043.887</v>
      </c>
      <c r="K10" s="18">
        <v>1303.515</v>
      </c>
      <c r="L10" s="18">
        <v>-338.16</v>
      </c>
      <c r="M10" s="18">
        <v>-19.8929</v>
      </c>
      <c r="N10" s="18">
        <v>276.6767</v>
      </c>
    </row>
    <row r="11">
      <c r="A11" s="1"/>
      <c r="B11" s="15">
        <v>-0.05</v>
      </c>
      <c r="C11" s="18">
        <v>-100.0</v>
      </c>
      <c r="D11" s="16">
        <v>239.8668</v>
      </c>
      <c r="E11" s="16">
        <v>567.1334</v>
      </c>
      <c r="F11" s="16">
        <v>884.7939</v>
      </c>
      <c r="G11" s="16">
        <v>104.8079</v>
      </c>
      <c r="H11" s="16">
        <v>439.4041</v>
      </c>
      <c r="I11" s="17">
        <v>756.5022</v>
      </c>
      <c r="J11" s="17">
        <v>1040.999</v>
      </c>
      <c r="K11" s="18">
        <v>1300.642</v>
      </c>
      <c r="L11" s="18">
        <v>-341.038</v>
      </c>
      <c r="M11" s="18">
        <v>-23.0769</v>
      </c>
      <c r="N11" s="18">
        <v>273.4411</v>
      </c>
    </row>
    <row r="12">
      <c r="B12" s="15">
        <v>0.0</v>
      </c>
      <c r="C12" s="18">
        <v>-100.0</v>
      </c>
      <c r="D12" s="18">
        <v>237.4315</v>
      </c>
      <c r="E12" s="18">
        <v>564.7735</v>
      </c>
      <c r="F12" s="18">
        <v>882.2238</v>
      </c>
      <c r="G12" s="18">
        <v>102.4522</v>
      </c>
      <c r="H12" s="18">
        <v>436.5581</v>
      </c>
      <c r="I12" s="17">
        <v>753.6459</v>
      </c>
      <c r="J12" s="17">
        <v>1038.111</v>
      </c>
      <c r="K12" s="18">
        <v>1297.77</v>
      </c>
      <c r="L12" s="18">
        <v>-343.917</v>
      </c>
      <c r="M12" s="18">
        <v>-26.2609</v>
      </c>
      <c r="N12" s="18">
        <v>270.2054</v>
      </c>
    </row>
    <row r="13">
      <c r="B13" s="15">
        <v>0.05</v>
      </c>
      <c r="C13" s="18">
        <v>-100.0</v>
      </c>
      <c r="D13" s="18">
        <v>234.9962</v>
      </c>
      <c r="E13" s="18">
        <v>562.4135</v>
      </c>
      <c r="F13" s="18">
        <v>879.6536</v>
      </c>
      <c r="G13" s="18">
        <v>100.0966</v>
      </c>
      <c r="H13" s="18">
        <v>433.712</v>
      </c>
      <c r="I13" s="17">
        <v>750.7896</v>
      </c>
      <c r="J13" s="17">
        <v>1035.224</v>
      </c>
      <c r="K13" s="18">
        <v>1294.897</v>
      </c>
      <c r="L13" s="18">
        <v>-346.795</v>
      </c>
      <c r="M13" s="18">
        <v>-29.445</v>
      </c>
      <c r="N13" s="18">
        <v>266.9697</v>
      </c>
    </row>
    <row r="14">
      <c r="B14" s="15">
        <v>0.1</v>
      </c>
      <c r="C14" s="18">
        <v>-100.0</v>
      </c>
      <c r="D14" s="18">
        <v>232.5609</v>
      </c>
      <c r="E14" s="18">
        <v>560.0536</v>
      </c>
      <c r="F14" s="18">
        <v>877.0835</v>
      </c>
      <c r="G14" s="18">
        <v>97.74089</v>
      </c>
      <c r="H14" s="18">
        <v>430.8659</v>
      </c>
      <c r="I14" s="17">
        <v>747.9333</v>
      </c>
      <c r="J14" s="17">
        <v>1032.336</v>
      </c>
      <c r="K14" s="18">
        <v>1292.024</v>
      </c>
      <c r="L14" s="18">
        <v>-349.674</v>
      </c>
      <c r="M14" s="18">
        <v>-32.629</v>
      </c>
      <c r="N14" s="18">
        <v>263.7341</v>
      </c>
    </row>
    <row r="15">
      <c r="B15" s="15">
        <v>0.15</v>
      </c>
      <c r="C15" s="18">
        <v>-100.0</v>
      </c>
      <c r="D15" s="18">
        <v>230.1255</v>
      </c>
      <c r="E15" s="18">
        <v>557.6936</v>
      </c>
      <c r="F15" s="18">
        <v>874.5134</v>
      </c>
      <c r="G15" s="18">
        <v>95.38522</v>
      </c>
      <c r="H15" s="18">
        <v>428.0198</v>
      </c>
      <c r="I15" s="17">
        <v>745.0771</v>
      </c>
      <c r="J15" s="17">
        <v>1029.448</v>
      </c>
      <c r="K15" s="18">
        <v>1289.152</v>
      </c>
      <c r="L15" s="18">
        <v>-352.552</v>
      </c>
      <c r="M15" s="18">
        <v>-35.813</v>
      </c>
      <c r="N15" s="18">
        <v>260.4984</v>
      </c>
    </row>
    <row r="16">
      <c r="B16" s="15">
        <v>0.2</v>
      </c>
      <c r="C16" s="18">
        <v>-100.0</v>
      </c>
      <c r="D16" s="18">
        <v>227.6902</v>
      </c>
      <c r="E16" s="18">
        <v>555.3337</v>
      </c>
      <c r="F16" s="18">
        <v>871.9433</v>
      </c>
      <c r="G16" s="18">
        <v>93.02954</v>
      </c>
      <c r="H16" s="18">
        <v>425.1737</v>
      </c>
      <c r="I16" s="17">
        <v>742.2208</v>
      </c>
      <c r="J16" s="17">
        <v>1026.561</v>
      </c>
      <c r="K16" s="18">
        <v>1286.279</v>
      </c>
      <c r="L16" s="18">
        <v>-355.43</v>
      </c>
      <c r="M16" s="18">
        <v>-38.9971</v>
      </c>
      <c r="N16" s="18">
        <v>257.2627</v>
      </c>
    </row>
    <row r="17">
      <c r="B17" s="15">
        <v>0.25</v>
      </c>
      <c r="C17" s="18">
        <v>-100.0</v>
      </c>
      <c r="D17" s="18">
        <v>225.2549</v>
      </c>
      <c r="E17" s="18">
        <v>552.9737</v>
      </c>
      <c r="F17" s="18">
        <v>869.3732</v>
      </c>
      <c r="G17" s="18">
        <v>90.67387</v>
      </c>
      <c r="H17" s="18">
        <v>422.3276</v>
      </c>
      <c r="I17" s="17">
        <v>739.3645</v>
      </c>
      <c r="J17" s="17">
        <v>1023.673</v>
      </c>
      <c r="K17" s="18">
        <v>1283.406</v>
      </c>
      <c r="L17" s="18">
        <v>-358.309</v>
      </c>
      <c r="M17" s="18">
        <v>-42.1811</v>
      </c>
      <c r="N17" s="18">
        <v>254.0271</v>
      </c>
    </row>
    <row r="18">
      <c r="B18" s="15">
        <v>0.3</v>
      </c>
      <c r="C18" s="18">
        <v>-100.0</v>
      </c>
      <c r="D18" s="18">
        <v>222.8196</v>
      </c>
      <c r="E18" s="18">
        <v>550.6138</v>
      </c>
      <c r="F18" s="18">
        <v>866.8031</v>
      </c>
      <c r="G18" s="18">
        <v>88.31819</v>
      </c>
      <c r="H18" s="18">
        <v>419.4816</v>
      </c>
      <c r="I18" s="17">
        <v>736.5083</v>
      </c>
      <c r="J18" s="17">
        <v>1020.785</v>
      </c>
      <c r="K18" s="18">
        <v>1280.533</v>
      </c>
      <c r="L18" s="18">
        <v>-361.187</v>
      </c>
      <c r="M18" s="18">
        <v>-45.3651</v>
      </c>
      <c r="N18" s="18">
        <v>250.7914</v>
      </c>
    </row>
    <row r="19">
      <c r="B19" s="15">
        <v>0.35</v>
      </c>
      <c r="C19" s="17">
        <v>-100.0</v>
      </c>
      <c r="D19" s="17">
        <v>220.3843</v>
      </c>
      <c r="E19" s="17">
        <v>548.2538</v>
      </c>
      <c r="F19" s="17">
        <v>864.233</v>
      </c>
      <c r="G19" s="17">
        <v>85.96251</v>
      </c>
      <c r="H19" s="17">
        <v>416.6355</v>
      </c>
      <c r="I19" s="17">
        <v>733.652</v>
      </c>
      <c r="J19" s="17">
        <v>1017.897</v>
      </c>
      <c r="K19" s="17">
        <v>1277.661</v>
      </c>
      <c r="L19" s="17">
        <v>-364.066</v>
      </c>
      <c r="M19" s="17">
        <v>-48.5491</v>
      </c>
      <c r="N19" s="17">
        <v>247.5558</v>
      </c>
    </row>
    <row r="20">
      <c r="B20" s="15">
        <v>0.4</v>
      </c>
      <c r="C20" s="17">
        <v>-100.0</v>
      </c>
      <c r="D20" s="17">
        <v>217.949</v>
      </c>
      <c r="E20" s="17">
        <v>545.8939</v>
      </c>
      <c r="F20" s="17">
        <v>861.6629</v>
      </c>
      <c r="G20" s="17">
        <v>83.60684</v>
      </c>
      <c r="H20" s="17">
        <v>413.7894</v>
      </c>
      <c r="I20" s="17">
        <v>730.7957</v>
      </c>
      <c r="J20" s="17">
        <v>1015.01</v>
      </c>
      <c r="K20" s="17">
        <v>1274.788</v>
      </c>
      <c r="L20" s="17">
        <v>-366.944</v>
      </c>
      <c r="M20" s="17">
        <v>-51.7332</v>
      </c>
      <c r="N20" s="17">
        <v>244.3201</v>
      </c>
    </row>
    <row r="21" ht="15.75" customHeight="1">
      <c r="B21" s="15">
        <v>0.45</v>
      </c>
      <c r="C21" s="17">
        <v>-100.0</v>
      </c>
      <c r="D21" s="17">
        <v>215.5136</v>
      </c>
      <c r="E21" s="17">
        <v>543.5339</v>
      </c>
      <c r="F21" s="17">
        <v>859.0928</v>
      </c>
      <c r="G21" s="17">
        <v>81.25116</v>
      </c>
      <c r="H21" s="17">
        <v>410.9433</v>
      </c>
      <c r="I21" s="17">
        <v>727.9394</v>
      </c>
      <c r="J21" s="17">
        <v>1012.122</v>
      </c>
      <c r="K21" s="17">
        <v>1271.915</v>
      </c>
      <c r="L21" s="17">
        <v>-369.823</v>
      </c>
      <c r="M21" s="17">
        <v>-54.9172</v>
      </c>
      <c r="N21" s="17">
        <v>241.0844</v>
      </c>
    </row>
    <row r="22" ht="15.75" customHeight="1">
      <c r="B22" s="15">
        <v>0.5</v>
      </c>
      <c r="C22" s="17">
        <v>-100.0</v>
      </c>
      <c r="D22" s="17">
        <v>213.0783</v>
      </c>
      <c r="E22" s="17">
        <v>541.174</v>
      </c>
      <c r="F22" s="17">
        <v>856.5227</v>
      </c>
      <c r="G22" s="17">
        <v>78.89548</v>
      </c>
      <c r="H22" s="17">
        <v>408.0972</v>
      </c>
      <c r="I22" s="17">
        <v>725.0832</v>
      </c>
      <c r="J22" s="17">
        <v>1009.234</v>
      </c>
      <c r="K22" s="17">
        <v>1269.043</v>
      </c>
      <c r="L22" s="17">
        <v>-372.701</v>
      </c>
      <c r="M22" s="17">
        <v>-58.1012</v>
      </c>
      <c r="N22" s="17">
        <v>237.8488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2.63"/>
  </cols>
  <sheetData>
    <row r="1">
      <c r="A1" s="1" t="s">
        <v>0</v>
      </c>
      <c r="B1" s="1" t="s">
        <v>60</v>
      </c>
      <c r="C1" s="1"/>
      <c r="D1" s="1" t="s">
        <v>61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8" t="s">
        <v>71</v>
      </c>
      <c r="B2" s="15">
        <v>-0.5</v>
      </c>
      <c r="C2" s="27" t="s">
        <v>71</v>
      </c>
      <c r="D2" s="16">
        <v>-100.0</v>
      </c>
      <c r="E2" s="16">
        <v>236.0555</v>
      </c>
      <c r="F2" s="16">
        <v>563.1685</v>
      </c>
      <c r="G2" s="16">
        <v>880.4028</v>
      </c>
      <c r="H2" s="16">
        <v>100.1161</v>
      </c>
      <c r="I2" s="16">
        <v>433.7809</v>
      </c>
      <c r="J2" s="16">
        <v>750.5123</v>
      </c>
      <c r="K2" s="16">
        <v>1034.723</v>
      </c>
      <c r="L2" s="16">
        <v>1294.169</v>
      </c>
      <c r="M2" s="16">
        <v>-347.633</v>
      </c>
      <c r="N2" s="16">
        <v>-30.1525</v>
      </c>
      <c r="O2" s="16">
        <v>266.224</v>
      </c>
      <c r="P2" s="26"/>
    </row>
    <row r="3">
      <c r="B3" s="15">
        <v>-0.45</v>
      </c>
      <c r="C3" s="28" t="s">
        <v>71</v>
      </c>
      <c r="D3" s="17">
        <v>-100.0</v>
      </c>
      <c r="E3" s="16">
        <v>236.1931</v>
      </c>
      <c r="F3" s="16">
        <v>563.329</v>
      </c>
      <c r="G3" s="16">
        <v>880.5849</v>
      </c>
      <c r="H3" s="16">
        <v>100.3497</v>
      </c>
      <c r="I3" s="16">
        <v>434.0586</v>
      </c>
      <c r="J3" s="17">
        <v>750.8256</v>
      </c>
      <c r="K3" s="17">
        <v>1035.062</v>
      </c>
      <c r="L3" s="17">
        <v>1294.529</v>
      </c>
      <c r="M3" s="17">
        <v>-347.261</v>
      </c>
      <c r="N3" s="17">
        <v>-29.7633</v>
      </c>
      <c r="O3" s="17">
        <v>266.6221</v>
      </c>
      <c r="P3" s="26"/>
    </row>
    <row r="4">
      <c r="A4" s="1"/>
      <c r="B4" s="15">
        <v>-0.4</v>
      </c>
      <c r="C4" s="28" t="s">
        <v>71</v>
      </c>
      <c r="D4" s="17">
        <v>-100.0</v>
      </c>
      <c r="E4" s="16">
        <v>236.3307</v>
      </c>
      <c r="F4" s="16">
        <v>563.4895</v>
      </c>
      <c r="G4" s="16">
        <v>880.767</v>
      </c>
      <c r="H4" s="16">
        <v>100.5834</v>
      </c>
      <c r="I4" s="16">
        <v>434.3363</v>
      </c>
      <c r="J4" s="17">
        <v>751.139</v>
      </c>
      <c r="K4" s="17">
        <v>1035.401</v>
      </c>
      <c r="L4" s="17">
        <v>1294.889</v>
      </c>
      <c r="M4" s="17">
        <v>-346.89</v>
      </c>
      <c r="N4" s="17">
        <v>-29.3742</v>
      </c>
      <c r="O4" s="17">
        <v>267.0203</v>
      </c>
      <c r="P4" s="26"/>
    </row>
    <row r="5">
      <c r="A5" s="1"/>
      <c r="B5" s="15">
        <v>-0.35</v>
      </c>
      <c r="C5" s="28" t="s">
        <v>71</v>
      </c>
      <c r="D5" s="17">
        <v>-100.0</v>
      </c>
      <c r="E5" s="16">
        <v>236.4683</v>
      </c>
      <c r="F5" s="16">
        <v>563.65</v>
      </c>
      <c r="G5" s="16">
        <v>880.9491</v>
      </c>
      <c r="H5" s="16">
        <v>100.817</v>
      </c>
      <c r="I5" s="16">
        <v>434.614</v>
      </c>
      <c r="J5" s="17">
        <v>751.4524</v>
      </c>
      <c r="K5" s="17">
        <v>1035.739</v>
      </c>
      <c r="L5" s="17">
        <v>1295.249</v>
      </c>
      <c r="M5" s="17">
        <v>-346.518</v>
      </c>
      <c r="N5" s="17">
        <v>-28.985</v>
      </c>
      <c r="O5" s="17">
        <v>267.4184</v>
      </c>
      <c r="P5" s="26"/>
    </row>
    <row r="6">
      <c r="A6" s="1"/>
      <c r="B6" s="15">
        <v>-0.3</v>
      </c>
      <c r="C6" s="28" t="s">
        <v>71</v>
      </c>
      <c r="D6" s="17">
        <v>-100.0</v>
      </c>
      <c r="E6" s="16">
        <v>236.6059</v>
      </c>
      <c r="F6" s="16">
        <v>563.8105</v>
      </c>
      <c r="G6" s="16">
        <v>881.1312</v>
      </c>
      <c r="H6" s="16">
        <v>101.0506</v>
      </c>
      <c r="I6" s="16">
        <v>434.8917</v>
      </c>
      <c r="J6" s="17">
        <v>751.7657</v>
      </c>
      <c r="K6" s="17">
        <v>1036.078</v>
      </c>
      <c r="L6" s="17">
        <v>1295.609</v>
      </c>
      <c r="M6" s="17">
        <v>-346.146</v>
      </c>
      <c r="N6" s="17">
        <v>-28.5959</v>
      </c>
      <c r="O6" s="17">
        <v>267.8166</v>
      </c>
      <c r="P6" s="26"/>
    </row>
    <row r="7">
      <c r="A7" s="1"/>
      <c r="B7" s="15">
        <v>-0.25</v>
      </c>
      <c r="C7" s="28" t="s">
        <v>71</v>
      </c>
      <c r="D7" s="17">
        <v>-100.0</v>
      </c>
      <c r="E7" s="16">
        <v>236.7435</v>
      </c>
      <c r="F7" s="16">
        <v>563.971</v>
      </c>
      <c r="G7" s="16">
        <v>881.3133</v>
      </c>
      <c r="H7" s="16">
        <v>101.2842</v>
      </c>
      <c r="I7" s="16">
        <v>435.1695</v>
      </c>
      <c r="J7" s="17">
        <v>752.0791</v>
      </c>
      <c r="K7" s="17">
        <v>1036.417</v>
      </c>
      <c r="L7" s="17">
        <v>1295.969</v>
      </c>
      <c r="M7" s="17">
        <v>-345.775</v>
      </c>
      <c r="N7" s="17">
        <v>-28.2067</v>
      </c>
      <c r="O7" s="17">
        <v>268.2147</v>
      </c>
      <c r="P7" s="26"/>
    </row>
    <row r="8">
      <c r="A8" s="1"/>
      <c r="B8" s="15">
        <v>-0.2</v>
      </c>
      <c r="C8" s="28" t="s">
        <v>71</v>
      </c>
      <c r="D8" s="17">
        <v>-100.0</v>
      </c>
      <c r="E8" s="16">
        <v>236.8811</v>
      </c>
      <c r="F8" s="16">
        <v>564.1315</v>
      </c>
      <c r="G8" s="16">
        <v>881.4954</v>
      </c>
      <c r="H8" s="16">
        <v>101.5178</v>
      </c>
      <c r="I8" s="16">
        <v>435.4472</v>
      </c>
      <c r="J8" s="17">
        <v>752.3924</v>
      </c>
      <c r="K8" s="17">
        <v>1036.756</v>
      </c>
      <c r="L8" s="17">
        <v>1296.329</v>
      </c>
      <c r="M8" s="17">
        <v>-345.403</v>
      </c>
      <c r="N8" s="17">
        <v>-27.8176</v>
      </c>
      <c r="O8" s="17">
        <v>268.6128</v>
      </c>
      <c r="P8" s="26"/>
    </row>
    <row r="9">
      <c r="B9" s="15">
        <v>-0.15</v>
      </c>
      <c r="C9" s="27" t="s">
        <v>71</v>
      </c>
      <c r="D9" s="16">
        <v>-100.0</v>
      </c>
      <c r="E9" s="16">
        <v>237.0187</v>
      </c>
      <c r="F9" s="16">
        <v>564.292</v>
      </c>
      <c r="G9" s="16">
        <v>881.6775</v>
      </c>
      <c r="H9" s="16">
        <v>101.7514</v>
      </c>
      <c r="I9" s="16">
        <v>435.7249</v>
      </c>
      <c r="J9" s="16">
        <v>752.7058</v>
      </c>
      <c r="K9" s="16">
        <v>1037.095</v>
      </c>
      <c r="L9" s="16">
        <v>1296.689</v>
      </c>
      <c r="M9" s="16">
        <v>-345.032</v>
      </c>
      <c r="N9" s="16">
        <v>-27.4284</v>
      </c>
      <c r="O9" s="16">
        <v>269.011</v>
      </c>
      <c r="P9" s="26"/>
    </row>
    <row r="10">
      <c r="A10" s="1"/>
      <c r="B10" s="15">
        <v>-0.1</v>
      </c>
      <c r="C10" s="28" t="s">
        <v>71</v>
      </c>
      <c r="D10" s="17">
        <v>-100.0</v>
      </c>
      <c r="E10" s="16">
        <v>237.1563</v>
      </c>
      <c r="F10" s="16">
        <v>564.4525</v>
      </c>
      <c r="G10" s="16">
        <v>881.8596</v>
      </c>
      <c r="H10" s="16">
        <v>101.985</v>
      </c>
      <c r="I10" s="16">
        <v>436.0026</v>
      </c>
      <c r="J10" s="17">
        <v>753.0192</v>
      </c>
      <c r="K10" s="17">
        <v>1037.434</v>
      </c>
      <c r="L10" s="17">
        <v>1297.05</v>
      </c>
      <c r="M10" s="17">
        <v>-344.66</v>
      </c>
      <c r="N10" s="17">
        <v>-27.0393</v>
      </c>
      <c r="O10" s="17">
        <v>269.4091</v>
      </c>
      <c r="P10" s="26"/>
    </row>
    <row r="11">
      <c r="A11" s="1"/>
      <c r="B11" s="15">
        <v>-0.05</v>
      </c>
      <c r="C11" s="28" t="s">
        <v>71</v>
      </c>
      <c r="D11" s="17">
        <v>-100.0</v>
      </c>
      <c r="E11" s="16">
        <v>237.2939</v>
      </c>
      <c r="F11" s="16">
        <v>564.613</v>
      </c>
      <c r="G11" s="16">
        <v>882.0417</v>
      </c>
      <c r="H11" s="16">
        <v>102.2186</v>
      </c>
      <c r="I11" s="16">
        <v>436.2803</v>
      </c>
      <c r="J11" s="17">
        <v>753.3325</v>
      </c>
      <c r="K11" s="17">
        <v>1037.773</v>
      </c>
      <c r="L11" s="17">
        <v>1297.41</v>
      </c>
      <c r="M11" s="17">
        <v>-344.288</v>
      </c>
      <c r="N11" s="17">
        <v>-26.6501</v>
      </c>
      <c r="O11" s="17">
        <v>269.8073</v>
      </c>
      <c r="P11" s="26"/>
    </row>
    <row r="12">
      <c r="B12" s="15">
        <v>0.0</v>
      </c>
      <c r="C12" s="28" t="s">
        <v>71</v>
      </c>
      <c r="D12" s="17">
        <v>-100.0</v>
      </c>
      <c r="E12" s="17">
        <v>237.4315</v>
      </c>
      <c r="F12" s="17">
        <v>564.7735</v>
      </c>
      <c r="G12" s="17">
        <v>882.2238</v>
      </c>
      <c r="H12" s="17">
        <v>102.4522</v>
      </c>
      <c r="I12" s="17">
        <v>436.5581</v>
      </c>
      <c r="J12" s="17">
        <v>753.6459</v>
      </c>
      <c r="K12" s="17">
        <v>1038.111</v>
      </c>
      <c r="L12" s="17">
        <v>1297.77</v>
      </c>
      <c r="M12" s="17">
        <v>-343.917</v>
      </c>
      <c r="N12" s="17">
        <v>-26.2609</v>
      </c>
      <c r="O12" s="17">
        <v>270.2054</v>
      </c>
      <c r="P12" s="26"/>
    </row>
    <row r="13">
      <c r="B13" s="15">
        <v>0.05</v>
      </c>
      <c r="C13" s="28" t="s">
        <v>71</v>
      </c>
      <c r="D13" s="17">
        <v>-100.0</v>
      </c>
      <c r="E13" s="17">
        <v>237.5691</v>
      </c>
      <c r="F13" s="17">
        <v>564.934</v>
      </c>
      <c r="G13" s="17">
        <v>882.4059</v>
      </c>
      <c r="H13" s="17">
        <v>102.6859</v>
      </c>
      <c r="I13" s="17">
        <v>436.8358</v>
      </c>
      <c r="J13" s="17">
        <v>753.9592</v>
      </c>
      <c r="K13" s="17">
        <v>1038.45</v>
      </c>
      <c r="L13" s="17">
        <v>1298.13</v>
      </c>
      <c r="M13" s="17">
        <v>-343.545</v>
      </c>
      <c r="N13" s="17">
        <v>-25.8718</v>
      </c>
      <c r="O13" s="17">
        <v>270.6035</v>
      </c>
      <c r="P13" s="26"/>
    </row>
    <row r="14">
      <c r="B14" s="15">
        <v>0.1</v>
      </c>
      <c r="C14" s="28" t="s">
        <v>71</v>
      </c>
      <c r="D14" s="17">
        <v>-100.0</v>
      </c>
      <c r="E14" s="17">
        <v>237.7067</v>
      </c>
      <c r="F14" s="17">
        <v>565.0945</v>
      </c>
      <c r="G14" s="17">
        <v>882.588</v>
      </c>
      <c r="H14" s="17">
        <v>102.9195</v>
      </c>
      <c r="I14" s="17">
        <v>437.1135</v>
      </c>
      <c r="J14" s="17">
        <v>754.2726</v>
      </c>
      <c r="K14" s="17">
        <v>1038.789</v>
      </c>
      <c r="L14" s="17">
        <v>1298.49</v>
      </c>
      <c r="M14" s="17">
        <v>-343.173</v>
      </c>
      <c r="N14" s="17">
        <v>-25.4826</v>
      </c>
      <c r="O14" s="17">
        <v>271.0017</v>
      </c>
      <c r="P14" s="26"/>
    </row>
    <row r="15">
      <c r="B15" s="15">
        <v>0.15</v>
      </c>
      <c r="C15" s="28" t="s">
        <v>71</v>
      </c>
      <c r="D15" s="17">
        <v>-100.0</v>
      </c>
      <c r="E15" s="17">
        <v>237.8443</v>
      </c>
      <c r="F15" s="17">
        <v>565.255</v>
      </c>
      <c r="G15" s="17">
        <v>882.7701</v>
      </c>
      <c r="H15" s="17">
        <v>103.1531</v>
      </c>
      <c r="I15" s="17">
        <v>437.3912</v>
      </c>
      <c r="J15" s="17">
        <v>754.586</v>
      </c>
      <c r="K15" s="17">
        <v>1039.128</v>
      </c>
      <c r="L15" s="17">
        <v>1298.85</v>
      </c>
      <c r="M15" s="17">
        <v>-342.802</v>
      </c>
      <c r="N15" s="17">
        <v>-25.0935</v>
      </c>
      <c r="O15" s="17">
        <v>271.3998</v>
      </c>
      <c r="P15" s="26"/>
    </row>
    <row r="16">
      <c r="B16" s="15">
        <v>0.2</v>
      </c>
      <c r="C16" s="28" t="s">
        <v>71</v>
      </c>
      <c r="D16" s="17">
        <v>-100.0</v>
      </c>
      <c r="E16" s="17">
        <v>237.9819</v>
      </c>
      <c r="F16" s="17">
        <v>565.4155</v>
      </c>
      <c r="G16" s="17">
        <v>882.9522</v>
      </c>
      <c r="H16" s="17">
        <v>103.3867</v>
      </c>
      <c r="I16" s="17">
        <v>437.6689</v>
      </c>
      <c r="J16" s="17">
        <v>754.8993</v>
      </c>
      <c r="K16" s="17">
        <v>1039.467</v>
      </c>
      <c r="L16" s="17">
        <v>1299.21</v>
      </c>
      <c r="M16" s="17">
        <v>-342.43</v>
      </c>
      <c r="N16" s="17">
        <v>-24.7043</v>
      </c>
      <c r="O16" s="17">
        <v>271.798</v>
      </c>
      <c r="P16" s="26"/>
    </row>
    <row r="17">
      <c r="B17" s="15">
        <v>0.25</v>
      </c>
      <c r="C17" s="28" t="s">
        <v>71</v>
      </c>
      <c r="D17" s="17">
        <v>-100.0</v>
      </c>
      <c r="E17" s="17">
        <v>238.1195</v>
      </c>
      <c r="F17" s="17">
        <v>565.576</v>
      </c>
      <c r="G17" s="17">
        <v>883.1343</v>
      </c>
      <c r="H17" s="17">
        <v>103.6203</v>
      </c>
      <c r="I17" s="17">
        <v>437.9467</v>
      </c>
      <c r="J17" s="17">
        <v>755.2127</v>
      </c>
      <c r="K17" s="17">
        <v>1039.806</v>
      </c>
      <c r="L17" s="17">
        <v>1299.57</v>
      </c>
      <c r="M17" s="17">
        <v>-342.058</v>
      </c>
      <c r="N17" s="17">
        <v>-24.3152</v>
      </c>
      <c r="O17" s="17">
        <v>272.1961</v>
      </c>
      <c r="P17" s="26"/>
    </row>
    <row r="18">
      <c r="B18" s="15">
        <v>0.3</v>
      </c>
      <c r="C18" s="28" t="s">
        <v>71</v>
      </c>
      <c r="D18" s="17">
        <v>-100.0</v>
      </c>
      <c r="E18" s="17">
        <v>238.2571</v>
      </c>
      <c r="F18" s="17">
        <v>565.7365</v>
      </c>
      <c r="G18" s="17">
        <v>883.3164</v>
      </c>
      <c r="H18" s="17">
        <v>103.8539</v>
      </c>
      <c r="I18" s="17">
        <v>438.2244</v>
      </c>
      <c r="J18" s="17">
        <v>755.526</v>
      </c>
      <c r="K18" s="17">
        <v>1040.144</v>
      </c>
      <c r="L18" s="17">
        <v>1299.93</v>
      </c>
      <c r="M18" s="17">
        <v>-341.687</v>
      </c>
      <c r="N18" s="17">
        <v>-23.926</v>
      </c>
      <c r="O18" s="17">
        <v>272.5943</v>
      </c>
      <c r="P18" s="26"/>
    </row>
    <row r="19">
      <c r="B19" s="15">
        <v>0.35</v>
      </c>
      <c r="C19" s="28" t="s">
        <v>71</v>
      </c>
      <c r="D19" s="17">
        <v>-100.0</v>
      </c>
      <c r="E19" s="17">
        <v>238.3947</v>
      </c>
      <c r="F19" s="17">
        <v>565.897</v>
      </c>
      <c r="G19" s="17">
        <v>883.4985</v>
      </c>
      <c r="H19" s="17">
        <v>104.0875</v>
      </c>
      <c r="I19" s="17">
        <v>438.5021</v>
      </c>
      <c r="J19" s="17">
        <v>755.8394</v>
      </c>
      <c r="K19" s="17">
        <v>1040.483</v>
      </c>
      <c r="L19" s="17">
        <v>1300.29</v>
      </c>
      <c r="M19" s="17">
        <v>-341.315</v>
      </c>
      <c r="N19" s="17">
        <v>-23.5369</v>
      </c>
      <c r="O19" s="17">
        <v>272.9924</v>
      </c>
      <c r="P19" s="26"/>
    </row>
    <row r="20">
      <c r="B20" s="15">
        <v>0.4</v>
      </c>
      <c r="C20" s="28" t="s">
        <v>71</v>
      </c>
      <c r="D20" s="17">
        <v>-100.0</v>
      </c>
      <c r="E20" s="17">
        <v>238.5323</v>
      </c>
      <c r="F20" s="17">
        <v>566.0575</v>
      </c>
      <c r="G20" s="17">
        <v>883.6806</v>
      </c>
      <c r="H20" s="17">
        <v>104.3211</v>
      </c>
      <c r="I20" s="17">
        <v>438.7798</v>
      </c>
      <c r="J20" s="17">
        <v>756.1528</v>
      </c>
      <c r="K20" s="17">
        <v>1040.822</v>
      </c>
      <c r="L20" s="17">
        <v>1300.65</v>
      </c>
      <c r="M20" s="17">
        <v>-340.944</v>
      </c>
      <c r="N20" s="17">
        <v>-23.1477</v>
      </c>
      <c r="O20" s="17">
        <v>273.3905</v>
      </c>
      <c r="P20" s="26"/>
    </row>
    <row r="21" ht="15.75" customHeight="1">
      <c r="B21" s="15">
        <v>0.45</v>
      </c>
      <c r="C21" s="28" t="s">
        <v>71</v>
      </c>
      <c r="D21" s="17">
        <v>-100.0</v>
      </c>
      <c r="E21" s="17">
        <v>238.6699</v>
      </c>
      <c r="F21" s="17">
        <v>566.218</v>
      </c>
      <c r="G21" s="17">
        <v>883.8627</v>
      </c>
      <c r="H21" s="17">
        <v>104.5547</v>
      </c>
      <c r="I21" s="17">
        <v>439.0575</v>
      </c>
      <c r="J21" s="17">
        <v>756.4661</v>
      </c>
      <c r="K21" s="17">
        <v>1041.161</v>
      </c>
      <c r="L21" s="17">
        <v>1301.01</v>
      </c>
      <c r="M21" s="17">
        <v>-340.572</v>
      </c>
      <c r="N21" s="17">
        <v>-22.7586</v>
      </c>
      <c r="O21" s="17">
        <v>273.7887</v>
      </c>
      <c r="P21" s="26"/>
    </row>
    <row r="22" ht="15.75" customHeight="1">
      <c r="B22" s="15">
        <v>0.5</v>
      </c>
      <c r="C22" s="28" t="s">
        <v>71</v>
      </c>
      <c r="D22" s="17">
        <v>-100.0</v>
      </c>
      <c r="E22" s="17">
        <v>238.8075</v>
      </c>
      <c r="F22" s="17">
        <v>566.3785</v>
      </c>
      <c r="G22" s="17">
        <v>884.0448</v>
      </c>
      <c r="H22" s="17">
        <v>104.7884</v>
      </c>
      <c r="I22" s="17">
        <v>439.3353</v>
      </c>
      <c r="J22" s="17">
        <v>756.7795</v>
      </c>
      <c r="K22" s="17">
        <v>1041.5</v>
      </c>
      <c r="L22" s="17">
        <v>1301.37</v>
      </c>
      <c r="M22" s="17">
        <v>-340.2</v>
      </c>
      <c r="N22" s="17">
        <v>-22.3694</v>
      </c>
      <c r="O22" s="17">
        <v>274.1868</v>
      </c>
      <c r="P22" s="26"/>
    </row>
    <row r="23" ht="15.75" customHeight="1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60</v>
      </c>
      <c r="C1" s="1" t="s">
        <v>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8" t="s">
        <v>72</v>
      </c>
      <c r="B2" s="15">
        <v>-0.5</v>
      </c>
      <c r="C2" s="16">
        <v>-100.0</v>
      </c>
      <c r="D2" s="16">
        <v>256.5314</v>
      </c>
      <c r="E2" s="16">
        <v>621.9798</v>
      </c>
      <c r="F2" s="16">
        <v>996.4456</v>
      </c>
      <c r="G2" s="16">
        <v>24.55809</v>
      </c>
      <c r="H2" s="16">
        <v>464.5501</v>
      </c>
      <c r="I2" s="16">
        <v>905.7674</v>
      </c>
      <c r="J2" s="16">
        <v>1323.997</v>
      </c>
      <c r="K2" s="16">
        <v>1727.363</v>
      </c>
      <c r="L2" s="16">
        <v>-967.27</v>
      </c>
      <c r="M2" s="16">
        <v>-416.363</v>
      </c>
      <c r="N2" s="16">
        <v>126.899</v>
      </c>
    </row>
    <row r="3" ht="15.75" customHeight="1">
      <c r="B3" s="15">
        <v>-0.45</v>
      </c>
      <c r="C3" s="16">
        <v>-100.0</v>
      </c>
      <c r="D3" s="16">
        <v>254.5246</v>
      </c>
      <c r="E3" s="16">
        <v>615.8707</v>
      </c>
      <c r="F3" s="16">
        <v>984.049</v>
      </c>
      <c r="G3" s="16">
        <v>33.85862</v>
      </c>
      <c r="H3" s="16">
        <v>461.6068</v>
      </c>
      <c r="I3" s="17">
        <v>888.1317</v>
      </c>
      <c r="J3" s="17">
        <v>1290.159</v>
      </c>
      <c r="K3" s="16">
        <v>1675.716</v>
      </c>
      <c r="L3" s="16">
        <v>-885.449</v>
      </c>
      <c r="M3" s="16">
        <v>-364.776</v>
      </c>
      <c r="N3" s="16">
        <v>145.781</v>
      </c>
    </row>
    <row r="4" ht="15.75" customHeight="1">
      <c r="A4" s="1"/>
      <c r="B4" s="15">
        <v>-0.4</v>
      </c>
      <c r="C4" s="16">
        <v>-100.0</v>
      </c>
      <c r="D4" s="16">
        <v>252.5404</v>
      </c>
      <c r="E4" s="16">
        <v>609.8528</v>
      </c>
      <c r="F4" s="16">
        <v>971.8836</v>
      </c>
      <c r="G4" s="16">
        <v>42.78816</v>
      </c>
      <c r="H4" s="16">
        <v>458.699</v>
      </c>
      <c r="I4" s="17">
        <v>871.0993</v>
      </c>
      <c r="J4" s="17">
        <v>1257.637</v>
      </c>
      <c r="K4" s="16">
        <v>1626.265</v>
      </c>
      <c r="L4" s="16">
        <v>-808.737</v>
      </c>
      <c r="M4" s="16">
        <v>-316.483</v>
      </c>
      <c r="N4" s="16">
        <v>163.5057</v>
      </c>
    </row>
    <row r="5" ht="15.75" customHeight="1">
      <c r="A5" s="1"/>
      <c r="B5" s="15">
        <v>-0.35</v>
      </c>
      <c r="C5" s="16">
        <v>-100.0</v>
      </c>
      <c r="D5" s="16">
        <v>250.5782</v>
      </c>
      <c r="E5" s="16">
        <v>603.9242</v>
      </c>
      <c r="F5" s="16">
        <v>959.9435</v>
      </c>
      <c r="G5" s="16">
        <v>51.3609</v>
      </c>
      <c r="H5" s="16">
        <v>455.8253</v>
      </c>
      <c r="I5" s="17">
        <v>854.6437</v>
      </c>
      <c r="J5" s="17">
        <v>1226.371</v>
      </c>
      <c r="K5" s="16">
        <v>1578.901</v>
      </c>
      <c r="L5" s="16">
        <v>-736.805</v>
      </c>
      <c r="M5" s="16">
        <v>-271.274</v>
      </c>
      <c r="N5" s="16">
        <v>180.1322</v>
      </c>
    </row>
    <row r="6" ht="15.75" customHeight="1">
      <c r="A6" s="1"/>
      <c r="B6" s="15">
        <v>-0.3</v>
      </c>
      <c r="C6" s="16">
        <v>-100.0</v>
      </c>
      <c r="D6" s="16">
        <v>248.6377</v>
      </c>
      <c r="E6" s="16">
        <v>598.083</v>
      </c>
      <c r="F6" s="16">
        <v>948.2232</v>
      </c>
      <c r="G6" s="16">
        <v>59.59039</v>
      </c>
      <c r="H6" s="16">
        <v>452.9844</v>
      </c>
      <c r="I6" s="17">
        <v>838.7398</v>
      </c>
      <c r="J6" s="17">
        <v>1196.301</v>
      </c>
      <c r="K6" s="16">
        <v>1533.52</v>
      </c>
      <c r="L6" s="16">
        <v>-669.349</v>
      </c>
      <c r="M6" s="16">
        <v>-228.953</v>
      </c>
      <c r="N6" s="16">
        <v>195.7172</v>
      </c>
    </row>
    <row r="7" ht="15.75" customHeight="1">
      <c r="A7" s="1"/>
      <c r="B7" s="15">
        <v>-0.25</v>
      </c>
      <c r="C7" s="16">
        <v>-100.0</v>
      </c>
      <c r="D7" s="16">
        <v>246.7186</v>
      </c>
      <c r="E7" s="16">
        <v>592.3274</v>
      </c>
      <c r="F7" s="16">
        <v>936.7172</v>
      </c>
      <c r="G7" s="16">
        <v>67.48967</v>
      </c>
      <c r="H7" s="17">
        <v>450.1749</v>
      </c>
      <c r="I7" s="17">
        <v>823.3638</v>
      </c>
      <c r="J7" s="17">
        <v>1167.373</v>
      </c>
      <c r="K7" s="16">
        <v>1490.025</v>
      </c>
      <c r="L7" s="16">
        <v>-606.084</v>
      </c>
      <c r="M7" s="16">
        <v>-189.338</v>
      </c>
      <c r="N7" s="16">
        <v>210.3146</v>
      </c>
    </row>
    <row r="8" ht="15.75" customHeight="1">
      <c r="A8" s="1"/>
      <c r="B8" s="15">
        <v>-0.2</v>
      </c>
      <c r="C8" s="16">
        <v>-100.0</v>
      </c>
      <c r="D8" s="16">
        <v>244.8205</v>
      </c>
      <c r="E8" s="16">
        <v>586.6556</v>
      </c>
      <c r="F8" s="16">
        <v>925.4203</v>
      </c>
      <c r="G8" s="16">
        <v>75.07121</v>
      </c>
      <c r="H8" s="16">
        <v>447.3955</v>
      </c>
      <c r="I8" s="17">
        <v>808.4929</v>
      </c>
      <c r="J8" s="17">
        <v>1139.534</v>
      </c>
      <c r="K8" s="16">
        <v>1448.323</v>
      </c>
      <c r="L8" s="16">
        <v>-546.744</v>
      </c>
      <c r="M8" s="16">
        <v>-152.258</v>
      </c>
      <c r="N8" s="16">
        <v>223.9758</v>
      </c>
    </row>
    <row r="9" ht="15.75" customHeight="1">
      <c r="B9" s="15">
        <v>-0.15</v>
      </c>
      <c r="C9" s="16">
        <v>-100.0</v>
      </c>
      <c r="D9" s="16">
        <v>242.9431</v>
      </c>
      <c r="E9" s="16">
        <v>581.066</v>
      </c>
      <c r="F9" s="16">
        <v>914.3274</v>
      </c>
      <c r="G9" s="16">
        <v>82.34699</v>
      </c>
      <c r="H9" s="16">
        <v>444.6452</v>
      </c>
      <c r="I9" s="16">
        <v>794.1057</v>
      </c>
      <c r="J9" s="16">
        <v>1112.734</v>
      </c>
      <c r="K9" s="16">
        <v>1408.327</v>
      </c>
      <c r="L9" s="16">
        <v>-491.08</v>
      </c>
      <c r="M9" s="16">
        <v>-117.554</v>
      </c>
      <c r="N9" s="16">
        <v>236.75</v>
      </c>
    </row>
    <row r="10" ht="15.75" customHeight="1">
      <c r="A10" s="1"/>
      <c r="B10" s="15">
        <v>-0.1</v>
      </c>
      <c r="C10" s="16">
        <v>-100.0</v>
      </c>
      <c r="D10" s="16">
        <v>241.086</v>
      </c>
      <c r="E10" s="16">
        <v>575.5568</v>
      </c>
      <c r="F10" s="16">
        <v>903.4335</v>
      </c>
      <c r="G10" s="16">
        <v>89.32848</v>
      </c>
      <c r="H10" s="16">
        <v>441.9228</v>
      </c>
      <c r="I10" s="17">
        <v>780.1817</v>
      </c>
      <c r="J10" s="17">
        <v>1086.927</v>
      </c>
      <c r="K10" s="16">
        <v>1369.954</v>
      </c>
      <c r="L10" s="16">
        <v>-438.863</v>
      </c>
      <c r="M10" s="16">
        <v>-85.0778</v>
      </c>
      <c r="N10" s="16">
        <v>248.6837</v>
      </c>
    </row>
    <row r="11" ht="15.75" customHeight="1">
      <c r="A11" s="1"/>
      <c r="B11" s="15">
        <v>-0.05</v>
      </c>
      <c r="C11" s="16">
        <v>-100.0</v>
      </c>
      <c r="D11" s="16">
        <v>239.2489</v>
      </c>
      <c r="E11" s="16">
        <v>570.1265</v>
      </c>
      <c r="F11" s="16">
        <v>892.7338</v>
      </c>
      <c r="G11" s="16">
        <v>96.02671</v>
      </c>
      <c r="H11" s="16">
        <v>439.2274</v>
      </c>
      <c r="I11" s="17">
        <v>766.7012</v>
      </c>
      <c r="J11" s="17">
        <v>1062.067</v>
      </c>
      <c r="K11" s="16">
        <v>1333.126</v>
      </c>
      <c r="L11" s="16">
        <v>-389.875</v>
      </c>
      <c r="M11" s="16">
        <v>-54.6901</v>
      </c>
      <c r="N11" s="16">
        <v>259.8214</v>
      </c>
    </row>
    <row r="12" ht="15.75" customHeight="1">
      <c r="B12" s="15">
        <v>0.0</v>
      </c>
      <c r="C12" s="17">
        <v>-100.0</v>
      </c>
      <c r="D12" s="17">
        <v>237.4315</v>
      </c>
      <c r="E12" s="17">
        <v>564.7735</v>
      </c>
      <c r="F12" s="17">
        <v>882.2238</v>
      </c>
      <c r="G12" s="17">
        <v>102.4522</v>
      </c>
      <c r="H12" s="17">
        <v>436.5581</v>
      </c>
      <c r="I12" s="17">
        <v>753.6459</v>
      </c>
      <c r="J12" s="17">
        <v>1038.111</v>
      </c>
      <c r="K12" s="17">
        <v>1297.77</v>
      </c>
      <c r="L12" s="17">
        <v>-343.917</v>
      </c>
      <c r="M12" s="17">
        <v>-26.2609</v>
      </c>
      <c r="N12" s="17">
        <v>270.2054</v>
      </c>
    </row>
    <row r="13" ht="15.75" customHeight="1">
      <c r="B13" s="15">
        <v>0.05</v>
      </c>
      <c r="C13" s="17">
        <v>-100.0</v>
      </c>
      <c r="D13" s="17">
        <v>235.6335</v>
      </c>
      <c r="E13" s="17">
        <v>559.4962</v>
      </c>
      <c r="F13" s="17">
        <v>871.8988</v>
      </c>
      <c r="G13" s="17">
        <v>108.6152</v>
      </c>
      <c r="H13" s="17">
        <v>433.9138</v>
      </c>
      <c r="I13" s="17">
        <v>740.998</v>
      </c>
      <c r="J13" s="17">
        <v>1015.021</v>
      </c>
      <c r="K13" s="17">
        <v>1263.814</v>
      </c>
      <c r="L13" s="17">
        <v>-300.798</v>
      </c>
      <c r="M13" s="17">
        <v>0.331093</v>
      </c>
      <c r="N13" s="17">
        <v>279.8759</v>
      </c>
    </row>
    <row r="14" ht="15.75" customHeight="1">
      <c r="B14" s="15">
        <v>0.1</v>
      </c>
      <c r="C14" s="17">
        <v>-100.0</v>
      </c>
      <c r="D14" s="17">
        <v>233.8545</v>
      </c>
      <c r="E14" s="17">
        <v>554.2931</v>
      </c>
      <c r="F14" s="17">
        <v>861.7545</v>
      </c>
      <c r="G14" s="17">
        <v>114.5254</v>
      </c>
      <c r="H14" s="17">
        <v>431.2939</v>
      </c>
      <c r="I14" s="17">
        <v>728.7406</v>
      </c>
      <c r="J14" s="17">
        <v>992.757</v>
      </c>
      <c r="K14" s="17">
        <v>1231.195</v>
      </c>
      <c r="L14" s="17">
        <v>-260.344</v>
      </c>
      <c r="M14" s="17">
        <v>25.19963</v>
      </c>
      <c r="N14" s="17">
        <v>288.871</v>
      </c>
    </row>
    <row r="15" ht="15.75" customHeight="1">
      <c r="B15" s="15">
        <v>0.15</v>
      </c>
      <c r="C15" s="17">
        <v>-100.0</v>
      </c>
      <c r="D15" s="17">
        <v>232.0943</v>
      </c>
      <c r="E15" s="17">
        <v>549.1629</v>
      </c>
      <c r="F15" s="17">
        <v>851.7866</v>
      </c>
      <c r="G15" s="17">
        <v>120.1921</v>
      </c>
      <c r="H15" s="17">
        <v>428.6976</v>
      </c>
      <c r="I15" s="17">
        <v>716.8579</v>
      </c>
      <c r="J15" s="17">
        <v>971.283</v>
      </c>
      <c r="K15" s="17">
        <v>1199.847</v>
      </c>
      <c r="L15" s="17">
        <v>-222.39</v>
      </c>
      <c r="M15" s="17">
        <v>48.45093</v>
      </c>
      <c r="N15" s="17">
        <v>297.2271</v>
      </c>
    </row>
    <row r="16" ht="15.75" customHeight="1">
      <c r="B16" s="15">
        <v>0.2</v>
      </c>
      <c r="C16" s="17">
        <v>-100.0</v>
      </c>
      <c r="D16" s="17">
        <v>230.3525</v>
      </c>
      <c r="E16" s="17">
        <v>544.1039</v>
      </c>
      <c r="F16" s="17">
        <v>841.991</v>
      </c>
      <c r="G16" s="17">
        <v>125.6244</v>
      </c>
      <c r="H16" s="17">
        <v>426.1241</v>
      </c>
      <c r="I16" s="17">
        <v>705.3345</v>
      </c>
      <c r="J16" s="17">
        <v>950.5645</v>
      </c>
      <c r="K16" s="17">
        <v>1169.713</v>
      </c>
      <c r="L16" s="17">
        <v>-186.782</v>
      </c>
      <c r="M16" s="17">
        <v>70.18447</v>
      </c>
      <c r="N16" s="17">
        <v>304.9787</v>
      </c>
    </row>
    <row r="17" ht="15.75" customHeight="1">
      <c r="B17" s="15">
        <v>0.25</v>
      </c>
      <c r="C17" s="17">
        <v>-100.0</v>
      </c>
      <c r="D17" s="17">
        <v>228.6289</v>
      </c>
      <c r="E17" s="17">
        <v>539.115</v>
      </c>
      <c r="F17" s="17">
        <v>832.3638</v>
      </c>
      <c r="G17" s="17">
        <v>130.8308</v>
      </c>
      <c r="H17" s="17">
        <v>423.5727</v>
      </c>
      <c r="I17" s="17">
        <v>694.1558</v>
      </c>
      <c r="J17" s="17">
        <v>930.5686</v>
      </c>
      <c r="K17" s="17">
        <v>1140.735</v>
      </c>
      <c r="L17" s="17">
        <v>-153.377</v>
      </c>
      <c r="M17" s="17">
        <v>90.49333</v>
      </c>
      <c r="N17" s="17">
        <v>312.1585</v>
      </c>
    </row>
    <row r="18" ht="15.75" customHeight="1">
      <c r="B18" s="15">
        <v>0.3</v>
      </c>
      <c r="C18" s="17">
        <v>-100.0</v>
      </c>
      <c r="D18" s="17">
        <v>226.9232</v>
      </c>
      <c r="E18" s="17">
        <v>534.1946</v>
      </c>
      <c r="F18" s="17">
        <v>822.9009</v>
      </c>
      <c r="G18" s="17">
        <v>135.8196</v>
      </c>
      <c r="H18" s="17">
        <v>421.0429</v>
      </c>
      <c r="I18" s="17">
        <v>683.3081</v>
      </c>
      <c r="J18" s="17">
        <v>911.2641</v>
      </c>
      <c r="K18" s="17">
        <v>1112.861</v>
      </c>
      <c r="L18" s="17">
        <v>-122.039</v>
      </c>
      <c r="M18" s="17">
        <v>109.4647</v>
      </c>
      <c r="N18" s="17">
        <v>318.7976</v>
      </c>
    </row>
    <row r="19" ht="15.75" customHeight="1">
      <c r="B19" s="15">
        <v>0.35</v>
      </c>
      <c r="C19" s="17">
        <v>-100.0</v>
      </c>
      <c r="D19" s="17">
        <v>225.2352</v>
      </c>
      <c r="E19" s="17">
        <v>529.3415</v>
      </c>
      <c r="F19" s="17">
        <v>813.5987</v>
      </c>
      <c r="G19" s="17">
        <v>140.5989</v>
      </c>
      <c r="H19" s="17">
        <v>418.534</v>
      </c>
      <c r="I19" s="17">
        <v>672.7782</v>
      </c>
      <c r="J19" s="17">
        <v>892.6213</v>
      </c>
      <c r="K19" s="17">
        <v>1086.039</v>
      </c>
      <c r="L19" s="17">
        <v>-92.6441</v>
      </c>
      <c r="M19" s="17">
        <v>127.1802</v>
      </c>
      <c r="N19" s="17">
        <v>324.9255</v>
      </c>
    </row>
    <row r="20" ht="15.75" customHeight="1">
      <c r="B20" s="15">
        <v>0.4</v>
      </c>
      <c r="C20" s="17">
        <v>-100.0</v>
      </c>
      <c r="D20" s="17">
        <v>223.5644</v>
      </c>
      <c r="E20" s="17">
        <v>524.5544</v>
      </c>
      <c r="F20" s="17">
        <v>804.4534</v>
      </c>
      <c r="G20" s="17">
        <v>145.1761</v>
      </c>
      <c r="H20" s="17">
        <v>416.0455</v>
      </c>
      <c r="I20" s="17">
        <v>662.5533</v>
      </c>
      <c r="J20" s="17">
        <v>874.6119</v>
      </c>
      <c r="K20" s="17">
        <v>1060.223</v>
      </c>
      <c r="L20" s="17">
        <v>-65.0732</v>
      </c>
      <c r="M20" s="17">
        <v>143.7162</v>
      </c>
      <c r="N20" s="17">
        <v>330.5702</v>
      </c>
    </row>
    <row r="21" ht="15.75" customHeight="1">
      <c r="B21" s="15">
        <v>0.45</v>
      </c>
      <c r="C21" s="17">
        <v>-100.0</v>
      </c>
      <c r="D21" s="17">
        <v>221.9108</v>
      </c>
      <c r="E21" s="17">
        <v>519.8321</v>
      </c>
      <c r="F21" s="17">
        <v>795.4615</v>
      </c>
      <c r="G21" s="17">
        <v>149.5588</v>
      </c>
      <c r="H21" s="17">
        <v>413.5769</v>
      </c>
      <c r="I21" s="17">
        <v>652.6216</v>
      </c>
      <c r="J21" s="17">
        <v>857.2091</v>
      </c>
      <c r="K21" s="17">
        <v>1035.365</v>
      </c>
      <c r="L21" s="17">
        <v>-39.2163</v>
      </c>
      <c r="M21" s="17">
        <v>159.1445</v>
      </c>
      <c r="N21" s="17">
        <v>335.7583</v>
      </c>
    </row>
    <row r="22" ht="15.75" customHeight="1">
      <c r="B22" s="15">
        <v>0.5</v>
      </c>
      <c r="C22" s="17">
        <v>-100.0</v>
      </c>
      <c r="D22" s="17">
        <v>220.274</v>
      </c>
      <c r="E22" s="17">
        <v>515.1733</v>
      </c>
      <c r="F22" s="17">
        <v>786.6195</v>
      </c>
      <c r="G22" s="17">
        <v>153.754</v>
      </c>
      <c r="H22" s="17">
        <v>411.1276</v>
      </c>
      <c r="I22" s="17">
        <v>642.9715</v>
      </c>
      <c r="J22" s="17">
        <v>840.3872</v>
      </c>
      <c r="K22" s="17">
        <v>1011.424</v>
      </c>
      <c r="L22" s="17">
        <v>-14.9702</v>
      </c>
      <c r="M22" s="17">
        <v>173.5322</v>
      </c>
      <c r="N22" s="17">
        <v>340.5149</v>
      </c>
    </row>
    <row r="23" ht="15.75" customHeight="1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